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ngerlk-my.sharepoint.com/personal/dihank_singersl_com/Documents/Desktop/DIHAN/UNPAID AND OVERDUE CREDIT SALES - BIKES/"/>
    </mc:Choice>
  </mc:AlternateContent>
  <xr:revisionPtr revIDLastSave="387" documentId="11_C05646ABB6493BA2E9AD59851B29C1BC842019F0" xr6:coauthVersionLast="47" xr6:coauthVersionMax="47" xr10:uidLastSave="{776F6ABE-EC9D-4425-AEE4-EAC89C4168D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Sheet1!$A$1:$T$91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N16" i="1"/>
  <c r="N50" i="1"/>
  <c r="N23" i="1"/>
  <c r="N4" i="1"/>
  <c r="N69" i="1"/>
  <c r="N77" i="1"/>
  <c r="N87" i="1"/>
  <c r="N17" i="1"/>
  <c r="N72" i="1"/>
  <c r="N53" i="1"/>
  <c r="N54" i="1"/>
  <c r="N55" i="1"/>
  <c r="N56" i="1"/>
  <c r="N74" i="1"/>
  <c r="N19" i="1"/>
  <c r="N85" i="1"/>
  <c r="N20" i="1"/>
  <c r="N78" i="1"/>
  <c r="N29" i="1"/>
  <c r="N81" i="1"/>
  <c r="N46" i="1"/>
  <c r="N75" i="1"/>
  <c r="N10" i="1"/>
  <c r="N40" i="1"/>
  <c r="N15" i="1"/>
  <c r="N31" i="1"/>
  <c r="N14" i="1"/>
  <c r="N12" i="1"/>
  <c r="N11" i="1"/>
  <c r="N13" i="1"/>
  <c r="N41" i="1"/>
  <c r="N42" i="1"/>
  <c r="N83" i="1"/>
  <c r="N2" i="1"/>
  <c r="N28" i="1"/>
  <c r="N39" i="1"/>
  <c r="N45" i="1"/>
  <c r="N80" i="1"/>
  <c r="N32" i="1"/>
  <c r="N21" i="1"/>
  <c r="N18" i="1"/>
  <c r="N76" i="1"/>
  <c r="N49" i="1"/>
  <c r="N47" i="1"/>
  <c r="N27" i="1"/>
  <c r="N86" i="1"/>
  <c r="N9" i="1"/>
  <c r="N70" i="1"/>
  <c r="N73" i="1"/>
  <c r="N71" i="1"/>
  <c r="N52" i="1"/>
  <c r="N51" i="1"/>
  <c r="N3" i="1"/>
  <c r="N91" i="1"/>
  <c r="N5" i="1"/>
  <c r="N88" i="1"/>
  <c r="N26" i="1"/>
  <c r="N65" i="1"/>
  <c r="N64" i="1"/>
  <c r="N63" i="1"/>
  <c r="N8" i="1"/>
  <c r="N61" i="1"/>
  <c r="N58" i="1"/>
  <c r="N59" i="1"/>
  <c r="N57" i="1"/>
  <c r="N62" i="1"/>
  <c r="N60" i="1"/>
  <c r="N66" i="1"/>
  <c r="L84" i="1"/>
  <c r="N84" i="1" s="1"/>
  <c r="L43" i="1"/>
  <c r="N43" i="1" s="1"/>
  <c r="L38" i="1"/>
  <c r="N38" i="1" s="1"/>
  <c r="L44" i="1"/>
  <c r="N44" i="1" s="1"/>
  <c r="L7" i="1"/>
  <c r="N7" i="1" s="1"/>
  <c r="L22" i="1"/>
  <c r="N22" i="1" s="1"/>
  <c r="L34" i="1"/>
  <c r="N34" i="1" s="1"/>
  <c r="L35" i="1"/>
  <c r="N35" i="1" s="1"/>
  <c r="L33" i="1"/>
  <c r="N33" i="1" s="1"/>
  <c r="L82" i="1"/>
  <c r="N82" i="1" s="1"/>
  <c r="L6" i="1"/>
  <c r="N6" i="1" s="1"/>
  <c r="L89" i="1"/>
  <c r="N89" i="1" s="1"/>
  <c r="L79" i="1"/>
  <c r="N79" i="1" s="1"/>
  <c r="L36" i="1"/>
  <c r="N36" i="1" s="1"/>
  <c r="L67" i="1"/>
  <c r="N67" i="1" s="1"/>
  <c r="L68" i="1"/>
  <c r="N68" i="1" s="1"/>
  <c r="L90" i="1"/>
  <c r="N90" i="1" s="1"/>
  <c r="L25" i="1"/>
  <c r="N25" i="1" s="1"/>
  <c r="L24" i="1"/>
  <c r="N24" i="1" s="1"/>
  <c r="L37" i="1"/>
  <c r="N37" i="1" s="1"/>
  <c r="L30" i="1"/>
  <c r="N30" i="1" s="1"/>
</calcChain>
</file>

<file path=xl/sharedStrings.xml><?xml version="1.0" encoding="utf-8"?>
<sst xmlns="http://schemas.openxmlformats.org/spreadsheetml/2006/main" count="1161" uniqueCount="492">
  <si>
    <t>Area</t>
  </si>
  <si>
    <t>District</t>
  </si>
  <si>
    <t>Branch Code</t>
  </si>
  <si>
    <t>Branch Name</t>
  </si>
  <si>
    <t>Order No</t>
  </si>
  <si>
    <t>Serial No</t>
  </si>
  <si>
    <t>Category</t>
  </si>
  <si>
    <t>Customer No</t>
  </si>
  <si>
    <t>Name</t>
  </si>
  <si>
    <t>Sales Date</t>
  </si>
  <si>
    <t>Period</t>
  </si>
  <si>
    <t>Due Date</t>
  </si>
  <si>
    <t>Total Amount</t>
  </si>
  <si>
    <t>Open Amount</t>
  </si>
  <si>
    <t>SLMO - REMARK</t>
  </si>
  <si>
    <t>FINANCE COMPANY</t>
  </si>
  <si>
    <t>CR STATUS</t>
  </si>
  <si>
    <t>PAYMENT STATUS</t>
  </si>
  <si>
    <t>WAYAMBA AREA</t>
  </si>
  <si>
    <t>KURUNEGALA DISTRICT</t>
  </si>
  <si>
    <t>BOK01</t>
  </si>
  <si>
    <t>KURUNEGALA C</t>
  </si>
  <si>
    <t>BOK-R25432</t>
  </si>
  <si>
    <t>LGMMVU1K4S0006252</t>
  </si>
  <si>
    <t>SSL</t>
  </si>
  <si>
    <t>711861289V</t>
  </si>
  <si>
    <t>N.M.PRIYANTHA</t>
  </si>
  <si>
    <t>SALE WITH DIFFERENT FINANCE COMPANY</t>
  </si>
  <si>
    <t>SIYAPATHA FINANCE</t>
  </si>
  <si>
    <t>CR SENT TO SHOP</t>
  </si>
  <si>
    <t>SETTLED</t>
  </si>
  <si>
    <t>UVA AREA</t>
  </si>
  <si>
    <t>MAHIYANGANA DISTRICT</t>
  </si>
  <si>
    <t>BDO01</t>
  </si>
  <si>
    <t>MAHIYANGANA</t>
  </si>
  <si>
    <t>BDO-R50602</t>
  </si>
  <si>
    <t>LGMMVU1H5S0000500</t>
  </si>
  <si>
    <t>933663043V</t>
  </si>
  <si>
    <t>Mr. A.J.CHINTHAKA PRADEEP KUMARA</t>
  </si>
  <si>
    <t>SINGER FINANCE</t>
  </si>
  <si>
    <t>CR SENT TO SFL</t>
  </si>
  <si>
    <t>BOK-R25703</t>
  </si>
  <si>
    <t>LGMMVU1H2S0000390</t>
  </si>
  <si>
    <t>911150026V</t>
  </si>
  <si>
    <t>S THENNAKOON</t>
  </si>
  <si>
    <t>CENTRAL AREA</t>
  </si>
  <si>
    <t>KANDY DISTRICT</t>
  </si>
  <si>
    <t>BFJ01</t>
  </si>
  <si>
    <t>PERADENIYA</t>
  </si>
  <si>
    <t>BFJ-R49891</t>
  </si>
  <si>
    <t>L1Z1LL518SA567772</t>
  </si>
  <si>
    <t>T.G.ISHARI DILRUKSHI RANASINGHA</t>
  </si>
  <si>
    <t>BBL01</t>
  </si>
  <si>
    <t>RAMBUKKANA</t>
  </si>
  <si>
    <t>BBL-R29830</t>
  </si>
  <si>
    <t>LGMMVU1K2S0006346</t>
  </si>
  <si>
    <t>740663313V</t>
  </si>
  <si>
    <t>Mr. KURUPPU K.M.I.S.</t>
  </si>
  <si>
    <t>CENTRAL FINANCE</t>
  </si>
  <si>
    <t>NORTH AREA</t>
  </si>
  <si>
    <t>MEDAWACHCHIYA DISTRICT</t>
  </si>
  <si>
    <t>BOQ01</t>
  </si>
  <si>
    <t>SETTIKULAM</t>
  </si>
  <si>
    <t>BOQ-R3490</t>
  </si>
  <si>
    <t>SGSAFA4S25D001369</t>
  </si>
  <si>
    <t>Ms. RASENDIRAM THUKKA</t>
  </si>
  <si>
    <t>MEGA NORTH</t>
  </si>
  <si>
    <t>MEGA NORTH ZONE- DISTRICT</t>
  </si>
  <si>
    <t>MAA01</t>
  </si>
  <si>
    <t>MEGA-KANDY</t>
  </si>
  <si>
    <t>MAA-R122206</t>
  </si>
  <si>
    <t>LGMMVU1K9T0002523</t>
  </si>
  <si>
    <t>723353475V</t>
  </si>
  <si>
    <t>Mr. SUSANTHA HERATH</t>
  </si>
  <si>
    <t>Motor Cycle</t>
  </si>
  <si>
    <t>TLJ01</t>
  </si>
  <si>
    <t>TAILG OFFICE CBO</t>
  </si>
  <si>
    <t>TLJ-R125</t>
  </si>
  <si>
    <t>LGMMVU1H7S0000983</t>
  </si>
  <si>
    <t>902443223V</t>
  </si>
  <si>
    <t>Mr. P G S M VIMALASEPA</t>
  </si>
  <si>
    <t>BDO-R50874</t>
  </si>
  <si>
    <t xml:space="preserve">
SGSAFA4S25A000119</t>
  </si>
  <si>
    <t>861282821V</t>
  </si>
  <si>
    <t>Mr. N G MANJULA PRIYANTHA VIJERATHNA</t>
  </si>
  <si>
    <t>SAO01</t>
  </si>
  <si>
    <t>KURUNEGALA - D</t>
  </si>
  <si>
    <t>SAO-R37087</t>
  </si>
  <si>
    <t>L1Z1LL517SA569609</t>
  </si>
  <si>
    <t>871553610V</t>
  </si>
  <si>
    <t>Mr. H.M.D.L.B HERATH</t>
  </si>
  <si>
    <t>SENT FOR CR CORRECTIONS</t>
  </si>
  <si>
    <t>NOT SETTLED</t>
  </si>
  <si>
    <t>SOUTH AREA</t>
  </si>
  <si>
    <t>MATARA DISTRICT</t>
  </si>
  <si>
    <t>FAN01</t>
  </si>
  <si>
    <t>SHOMES-MATARA</t>
  </si>
  <si>
    <t>FAN-R24613</t>
  </si>
  <si>
    <t>L1Z1LL512SA569596</t>
  </si>
  <si>
    <t>942610149V</t>
  </si>
  <si>
    <t>Mr. RANCHI GAMAGE CHARITH MADUSHANKA</t>
  </si>
  <si>
    <t>LB FINANCE</t>
  </si>
  <si>
    <t>BOK-R26353</t>
  </si>
  <si>
    <t>L1Z1LL515SA569740</t>
  </si>
  <si>
    <t>891040059V</t>
  </si>
  <si>
    <t>Mr. V.AMILA PETHUM JAYASINGHA</t>
  </si>
  <si>
    <t>BOK-R26354</t>
  </si>
  <si>
    <t>L1Z1LL513SA569610</t>
  </si>
  <si>
    <t>841762916V</t>
  </si>
  <si>
    <t>Mr. AJITH RATHNAYAKE</t>
  </si>
  <si>
    <t>BOK-R26356</t>
  </si>
  <si>
    <t>L1Z1LL514SA569244</t>
  </si>
  <si>
    <t>Miss. K G RAMYA KUMARI WICKRAMANAYAKA</t>
  </si>
  <si>
    <t>BOK-R26357</t>
  </si>
  <si>
    <t>L1Z1LL514SA569714</t>
  </si>
  <si>
    <t>927530627V</t>
  </si>
  <si>
    <t>W A G I WEJESINGHA</t>
  </si>
  <si>
    <t>CHILAW DISTRICT</t>
  </si>
  <si>
    <t>FBD01</t>
  </si>
  <si>
    <t>SHOMES- CHILAW</t>
  </si>
  <si>
    <t>FBD-R13974</t>
  </si>
  <si>
    <t>L1Z1LL514SA569437</t>
  </si>
  <si>
    <t>Mrs. W WASANA SADARENU FERNANDO</t>
  </si>
  <si>
    <t>BDQ01</t>
  </si>
  <si>
    <t>PADIYATHALAWA</t>
  </si>
  <si>
    <t>BDQ-R26168</t>
  </si>
  <si>
    <t>SGSAFA4S25B000447</t>
  </si>
  <si>
    <t>H.M.ASHOKA SANJEEWANI</t>
  </si>
  <si>
    <t>VAVUNIYA DISTRICT</t>
  </si>
  <si>
    <t>SBW01</t>
  </si>
  <si>
    <t>VAVUNIYA - B</t>
  </si>
  <si>
    <t>SBW-R20053</t>
  </si>
  <si>
    <t>SGSAFA4S25B000707</t>
  </si>
  <si>
    <t>903502401V</t>
  </si>
  <si>
    <t>Mr. K MAHESH MALINDA THILAKARATHNA</t>
  </si>
  <si>
    <t>MONARAGALA DISTRICT</t>
  </si>
  <si>
    <t>BDS01</t>
  </si>
  <si>
    <t>WELLAWAYA</t>
  </si>
  <si>
    <t>BDS-R24711</t>
  </si>
  <si>
    <t>SGSAFA4S25C000778</t>
  </si>
  <si>
    <t>641223140V</t>
  </si>
  <si>
    <t>Mr. R.M.KARUNARATHNA</t>
  </si>
  <si>
    <t>MAL01</t>
  </si>
  <si>
    <t>MEGA-KANDY B</t>
  </si>
  <si>
    <t>MAL-R159757</t>
  </si>
  <si>
    <t>LGMMVU1H0S0000730</t>
  </si>
  <si>
    <t>983282016V</t>
  </si>
  <si>
    <t>Mr. M A S S WEERASOORIYA</t>
  </si>
  <si>
    <t>COLOMBO NORTH</t>
  </si>
  <si>
    <t>NEGOMBO DISTRICT</t>
  </si>
  <si>
    <t>BHH01</t>
  </si>
  <si>
    <t>PANNALA</t>
  </si>
  <si>
    <t>BHH-R22386</t>
  </si>
  <si>
    <t>L1Z1LL511SA569301</t>
  </si>
  <si>
    <t>808360802V</t>
  </si>
  <si>
    <t>Mr. S.MEDHANI CHAMINDIKA</t>
  </si>
  <si>
    <t>STATUS PENDING</t>
  </si>
  <si>
    <t>WAYAMBA</t>
  </si>
  <si>
    <t>SAO-R36581</t>
  </si>
  <si>
    <t>L1Z1LL516SA569259</t>
  </si>
  <si>
    <t>858302633V</t>
  </si>
  <si>
    <t>Miss. I L S ANANDA</t>
  </si>
  <si>
    <t>NORTH</t>
  </si>
  <si>
    <t>JAFFNA DISTRICT</t>
  </si>
  <si>
    <t>BOC01</t>
  </si>
  <si>
    <t>JAFFNA-HOSPITAL ROAD</t>
  </si>
  <si>
    <t>BOC-R34624</t>
  </si>
  <si>
    <t>L1Z1LL514SA569678</t>
  </si>
  <si>
    <t>961572517V</t>
  </si>
  <si>
    <t>K.BANUJAN</t>
  </si>
  <si>
    <t>MATALE DISTRICT</t>
  </si>
  <si>
    <t>FBG01</t>
  </si>
  <si>
    <t>SHOMES- MATALE</t>
  </si>
  <si>
    <t>FBG-R15641</t>
  </si>
  <si>
    <t>L1Z1LL511SA567631</t>
  </si>
  <si>
    <t>857340787V</t>
  </si>
  <si>
    <t>Mrs. M S S M R M SAMARADIWAKARA</t>
  </si>
  <si>
    <t>SBW-R19627</t>
  </si>
  <si>
    <t>SGSAFA4S25C000941</t>
  </si>
  <si>
    <t>876502550V</t>
  </si>
  <si>
    <t>Miss. PERIYANNAN PARIMALA</t>
  </si>
  <si>
    <t>EAST</t>
  </si>
  <si>
    <t>BATTICALOA DISTRICT</t>
  </si>
  <si>
    <t>BDJ01</t>
  </si>
  <si>
    <t>BATTICALOA</t>
  </si>
  <si>
    <t>BDJ-R26137</t>
  </si>
  <si>
    <t>L1Z1LL514SA569373</t>
  </si>
  <si>
    <t>605983294V</t>
  </si>
  <si>
    <t>Mrs. VANITHA FRANSIS</t>
  </si>
  <si>
    <t>BMM01</t>
  </si>
  <si>
    <t>BATTICALOA B</t>
  </si>
  <si>
    <t>BMM-R29004</t>
  </si>
  <si>
    <t>L1Z1LL513SA569557</t>
  </si>
  <si>
    <t>906412772V</t>
  </si>
  <si>
    <t>Mrs. NIROJAN SAJANTHINI</t>
  </si>
  <si>
    <t>UVA</t>
  </si>
  <si>
    <t>BDO-R50331</t>
  </si>
  <si>
    <t>L1Z1LL517SA569691</t>
  </si>
  <si>
    <t>967223018V</t>
  </si>
  <si>
    <t>Mr. D.M.SAURI THARANGA DISSANAYAKA.</t>
  </si>
  <si>
    <t>COLOMBO SOUTH</t>
  </si>
  <si>
    <t>AMBALANGODA DISTRICT</t>
  </si>
  <si>
    <t>BIK01</t>
  </si>
  <si>
    <t>ELPITIYA</t>
  </si>
  <si>
    <t>BIK-R44609</t>
  </si>
  <si>
    <t>LGMMVUIK4S0003478</t>
  </si>
  <si>
    <t>831552514V</t>
  </si>
  <si>
    <t>Mr. A. SAUNDARARAJ</t>
  </si>
  <si>
    <t>BDJ-R26166</t>
  </si>
  <si>
    <t>L1Z1LL517SA569674</t>
  </si>
  <si>
    <t>Mr. SELLAPPU UTHAYAKUMAR</t>
  </si>
  <si>
    <t>BDJ-R26164</t>
  </si>
  <si>
    <t>L1Z1LL518SA569506</t>
  </si>
  <si>
    <t>927042932V</t>
  </si>
  <si>
    <t>Mrs. NADARASA SHOPIKA</t>
  </si>
  <si>
    <t>BDJ-R26153</t>
  </si>
  <si>
    <t>L1Z1LL512SA569498</t>
  </si>
  <si>
    <t>845302588V</t>
  </si>
  <si>
    <t>Mrs. ROJINI ERAJARETNAM</t>
  </si>
  <si>
    <t>BDJ-R26165</t>
  </si>
  <si>
    <t>L1Z1LL510SA569323</t>
  </si>
  <si>
    <t>Ms. NAGENDRAKUMAR NAHENTHINY</t>
  </si>
  <si>
    <t>BMM-R29008</t>
  </si>
  <si>
    <t>LGMMVU1K8S0006058</t>
  </si>
  <si>
    <t>Mr. THAVARAJAH ALAN ASHVITH</t>
  </si>
  <si>
    <t>BMM-R29021</t>
  </si>
  <si>
    <t>LGMMVU1K1S0006287</t>
  </si>
  <si>
    <t>818443650V</t>
  </si>
  <si>
    <t>Mrs. PREMJEENATH THUTEESWARAN</t>
  </si>
  <si>
    <t>CENTRAL</t>
  </si>
  <si>
    <t>SBC01</t>
  </si>
  <si>
    <t>MAWANELLA - B</t>
  </si>
  <si>
    <t>SBC-R24061</t>
  </si>
  <si>
    <t>LGMMVU1K4S0005988</t>
  </si>
  <si>
    <t>815702697V</t>
  </si>
  <si>
    <t>Mrs. SUVINEETHA</t>
  </si>
  <si>
    <t>CR RECEIVED TO SLMO</t>
  </si>
  <si>
    <t>COLOMBO METRO</t>
  </si>
  <si>
    <t>BORELLA DISTRICT</t>
  </si>
  <si>
    <t>BAP01</t>
  </si>
  <si>
    <t>DELKANDA</t>
  </si>
  <si>
    <t>BAP-R31154</t>
  </si>
  <si>
    <t>LGMMVU1H8S0000829</t>
  </si>
  <si>
    <t>771212484V</t>
  </si>
  <si>
    <t>Mr. A SUPUN CHANDANA</t>
  </si>
  <si>
    <t>BHE01</t>
  </si>
  <si>
    <t>KATANA</t>
  </si>
  <si>
    <t>BHE-R17483</t>
  </si>
  <si>
    <t>SGSAFA4S25D000547</t>
  </si>
  <si>
    <t>570782541V</t>
  </si>
  <si>
    <t>Mr. I P NIMAL CHANDRASIRI</t>
  </si>
  <si>
    <t>BNG01</t>
  </si>
  <si>
    <t>DARGA TOWN</t>
  </si>
  <si>
    <t>BNG-R23257</t>
  </si>
  <si>
    <t>LGMMVU1H8S0000457</t>
  </si>
  <si>
    <t>Miss. D.R.CHETHANA RAWIHARI</t>
  </si>
  <si>
    <t>BMM-R28972</t>
  </si>
  <si>
    <t>LGMMVU1H7S0000997</t>
  </si>
  <si>
    <t>826062908V</t>
  </si>
  <si>
    <t>Miss. R.T. SRISUBALOJINI</t>
  </si>
  <si>
    <t>BMM-R29111</t>
  </si>
  <si>
    <t>650621620V</t>
  </si>
  <si>
    <t>Mr. SEVANJANAN SITHTHIRAVEL</t>
  </si>
  <si>
    <t>BMM-R28999</t>
  </si>
  <si>
    <t>L6MMVU1K3S0006095</t>
  </si>
  <si>
    <t>Mrs. KANTHASAMY WIJAYANANTHY</t>
  </si>
  <si>
    <t>MERCHAN CREDIT AND INVESMENT PVT LTD</t>
  </si>
  <si>
    <t>POLONNARUWA DISTRICT</t>
  </si>
  <si>
    <t>BNL01</t>
  </si>
  <si>
    <t>KADURUWELA B</t>
  </si>
  <si>
    <t>BNL-R14674</t>
  </si>
  <si>
    <t>LGMMVU1H0S0000971</t>
  </si>
  <si>
    <t>913071239V</t>
  </si>
  <si>
    <t>Mr. G SURESH</t>
  </si>
  <si>
    <t>MBA01</t>
  </si>
  <si>
    <t>MEGA -KURUNAGALA</t>
  </si>
  <si>
    <t>MBA-R38340</t>
  </si>
  <si>
    <t>LGMMVU1K9S0006201</t>
  </si>
  <si>
    <t>Mr. Disanayke</t>
  </si>
  <si>
    <t>SOUTH</t>
  </si>
  <si>
    <t>BJM01</t>
  </si>
  <si>
    <t>MATARA-A</t>
  </si>
  <si>
    <t>BJM-R91640</t>
  </si>
  <si>
    <t>LGMMVU1H1S0000512</t>
  </si>
  <si>
    <t>SIRIPALA KODDIKKARA</t>
  </si>
  <si>
    <t>BEA01</t>
  </si>
  <si>
    <t>DEHIATTAKANDIYA</t>
  </si>
  <si>
    <t>BEA-R36153</t>
  </si>
  <si>
    <t>LGMMVU1K9S0003542</t>
  </si>
  <si>
    <t>Miss. M.G.DULIKA KUMARI</t>
  </si>
  <si>
    <t>BDQ-R25935</t>
  </si>
  <si>
    <t>TLLMEVSF5102227</t>
  </si>
  <si>
    <t>740073729V</t>
  </si>
  <si>
    <t>Rev.E.Sumanarathne.</t>
  </si>
  <si>
    <t>FBG-R15857</t>
  </si>
  <si>
    <t>LGMMVU1K7S0006312</t>
  </si>
  <si>
    <t>790085310V</t>
  </si>
  <si>
    <t>Mr. RUWAN ASIRI WEERASINGHE</t>
  </si>
  <si>
    <t>BOK-R25433</t>
  </si>
  <si>
    <t>L1Z1LL516SA569049</t>
  </si>
  <si>
    <t>783472775V</t>
  </si>
  <si>
    <t>Mr. I.M.INDIKA ILANKOON</t>
  </si>
  <si>
    <t>BOK-R25422</t>
  </si>
  <si>
    <t>LGMMVU1K2S0006007</t>
  </si>
  <si>
    <t>Mr. W.M.MAHINDA BANDARA</t>
  </si>
  <si>
    <t>BGZ01</t>
  </si>
  <si>
    <t>KULIYAPITIYA</t>
  </si>
  <si>
    <t>BGZ-R64426</t>
  </si>
  <si>
    <t>L1Z1LL51XSA569619</t>
  </si>
  <si>
    <t>Mr. M A SOMASINGHA MARASINGHA</t>
  </si>
  <si>
    <t>SCY01</t>
  </si>
  <si>
    <t>PILIMATHALAWA - B</t>
  </si>
  <si>
    <t>SCY-R11895</t>
  </si>
  <si>
    <t>LGMMVU1K9S0003461</t>
  </si>
  <si>
    <t>812571613V</t>
  </si>
  <si>
    <t>Mr. B G B GAYAN RANASINGHE</t>
  </si>
  <si>
    <t>AMPARA DISTRICT</t>
  </si>
  <si>
    <t>BDB01</t>
  </si>
  <si>
    <t>UHANA</t>
  </si>
  <si>
    <t>BDB-R19830</t>
  </si>
  <si>
    <t>SGSAFA4S25B000592</t>
  </si>
  <si>
    <t>Mr. P.SADUN KAWUSHALYA</t>
  </si>
  <si>
    <t>BJO01</t>
  </si>
  <si>
    <t>MATARA-B</t>
  </si>
  <si>
    <t>BJO-R55079</t>
  </si>
  <si>
    <t>LGMMVU1H6S0000716</t>
  </si>
  <si>
    <t>822651623V</t>
  </si>
  <si>
    <t>Mr. P.S.WANNIGE.</t>
  </si>
  <si>
    <t>BJO-R55136</t>
  </si>
  <si>
    <t>L1Z1LL511SA569668</t>
  </si>
  <si>
    <t>Mr. SASNKA DILSHAN HEWA AMBEPITIYA</t>
  </si>
  <si>
    <t>BJO-R55130</t>
  </si>
  <si>
    <t>LGMMVU1KXS0003520</t>
  </si>
  <si>
    <t>740353411V</t>
  </si>
  <si>
    <t>Mr. T.B.LALITH</t>
  </si>
  <si>
    <t>BPG01</t>
  </si>
  <si>
    <t>SIRIPURA-LITE</t>
  </si>
  <si>
    <t>BPG-R1641</t>
  </si>
  <si>
    <t>SGSAFA4S25A000366</t>
  </si>
  <si>
    <t>717620127V</t>
  </si>
  <si>
    <t>Miss. N D NIRMALA NISHANTHI</t>
  </si>
  <si>
    <t>BED01</t>
  </si>
  <si>
    <t>WILGAMUWA</t>
  </si>
  <si>
    <t>BED-R20506</t>
  </si>
  <si>
    <t>LGMMVU1HXS0000931</t>
  </si>
  <si>
    <t>911592878V</t>
  </si>
  <si>
    <t>Mr. L.A.DAMITH SANDARUWAN JAYASINGHA</t>
  </si>
  <si>
    <t>FBD-R13682</t>
  </si>
  <si>
    <t>L1Z1LL510SA569449</t>
  </si>
  <si>
    <t>Miss. W .H . M. THASHMI THEESHALA</t>
  </si>
  <si>
    <t>BPL01</t>
  </si>
  <si>
    <t>HATHARALIYADDA-LITE</t>
  </si>
  <si>
    <t>BPL-R197</t>
  </si>
  <si>
    <t>L1Z1LL519SA569255</t>
  </si>
  <si>
    <t>792070370V</t>
  </si>
  <si>
    <t>Mr. H A NUWAN SANDANA NADEERA</t>
  </si>
  <si>
    <t>BBY01</t>
  </si>
  <si>
    <t>KURUNEGALA B</t>
  </si>
  <si>
    <t>BBY-R68482</t>
  </si>
  <si>
    <t>L1Z1LL516SA569181</t>
  </si>
  <si>
    <t>965470921V</t>
  </si>
  <si>
    <t>Ms. Y A D ANURADHA YAPA</t>
  </si>
  <si>
    <t>BOK-R25754</t>
  </si>
  <si>
    <t>LGMMVU1K1S0006337</t>
  </si>
  <si>
    <t>Mr. S. D. D. SAUMYA KUMARA</t>
  </si>
  <si>
    <t>BOK-R25730</t>
  </si>
  <si>
    <t>LGMMVU1K9S0003363</t>
  </si>
  <si>
    <t>Ms. S M RASHINI PESHALA</t>
  </si>
  <si>
    <t>BBH01</t>
  </si>
  <si>
    <t>MARADAGAHAMULLA</t>
  </si>
  <si>
    <t>BBH-R16814</t>
  </si>
  <si>
    <t>L1Z1LL51XSA569099</t>
  </si>
  <si>
    <t>Mrs. H.P.THARUSHI KAUSHALYA</t>
  </si>
  <si>
    <t>TLJ-R84</t>
  </si>
  <si>
    <t>LGMMVU1K2S0006248</t>
  </si>
  <si>
    <t>673202144V</t>
  </si>
  <si>
    <t>Mr. P.G LAL SISIRAKODI</t>
  </si>
  <si>
    <t>BBL-R30279</t>
  </si>
  <si>
    <t>L1Z1LL51XSA569023</t>
  </si>
  <si>
    <t>Mr. M A SANJEEWA RUWAN BANDARA</t>
  </si>
  <si>
    <t>TLJ-R147</t>
  </si>
  <si>
    <t>LGMMVU1H6S0000876</t>
  </si>
  <si>
    <t>R.ARIYAWATHI</t>
  </si>
  <si>
    <t>SABARAGAMUWA</t>
  </si>
  <si>
    <t>EMBILIPITIYA DISTRICT</t>
  </si>
  <si>
    <t>BGB01</t>
  </si>
  <si>
    <t>KAHAWATTA</t>
  </si>
  <si>
    <t>BGB-R34384</t>
  </si>
  <si>
    <t>L1Z1LL512SA569517</t>
  </si>
  <si>
    <t>791683050V</t>
  </si>
  <si>
    <t>Mr. SUMITH PALANSOORIYA</t>
  </si>
  <si>
    <t>BOK-R27003</t>
  </si>
  <si>
    <t>LGMMVU1H4T0000151</t>
  </si>
  <si>
    <t>848181919V</t>
  </si>
  <si>
    <t>Mr. D D S KRISHNTHI</t>
  </si>
  <si>
    <t>BOK-R26998</t>
  </si>
  <si>
    <t>LGMMVU1K1T0002225</t>
  </si>
  <si>
    <t>812532570V</t>
  </si>
  <si>
    <t>Mr. S.A KUMARANA KULATHUNGA</t>
  </si>
  <si>
    <t>BOK-R26951</t>
  </si>
  <si>
    <t>LGMMVU1K6T0001944</t>
  </si>
  <si>
    <t>Mr. K K D HARSHA WIDURANGA</t>
  </si>
  <si>
    <t>KADAWATHA DISTRICT</t>
  </si>
  <si>
    <t>BCS01</t>
  </si>
  <si>
    <t>KADAWATHA A</t>
  </si>
  <si>
    <t>BCS-R53211</t>
  </si>
  <si>
    <t>LGMMVU1H2S0000857</t>
  </si>
  <si>
    <t>841332059V</t>
  </si>
  <si>
    <t>Mr. W.A.P SAMANTHA ABEYWARDANA.</t>
  </si>
  <si>
    <t>BOK-R26737</t>
  </si>
  <si>
    <t>LGMMVU1H9S0000709</t>
  </si>
  <si>
    <t>808003171V</t>
  </si>
  <si>
    <t>K H A M KUMARASINGHA</t>
  </si>
  <si>
    <t>BOK-R26581</t>
  </si>
  <si>
    <t>LGMMVU1HXS0000363</t>
  </si>
  <si>
    <t>723132614V</t>
  </si>
  <si>
    <t>Mr. A G B G KODITHUWAKKU</t>
  </si>
  <si>
    <t>BOK-R26620</t>
  </si>
  <si>
    <t>L1Z1LL512SA569307</t>
  </si>
  <si>
    <t>723422540V</t>
  </si>
  <si>
    <t>Mr. A R A HADI</t>
  </si>
  <si>
    <t>BOK-R26499</t>
  </si>
  <si>
    <t>L1Z1LL513SA567534</t>
  </si>
  <si>
    <t>831774541V</t>
  </si>
  <si>
    <t>Mr. J P P K M JAYALATH</t>
  </si>
  <si>
    <t>BOK-R26739</t>
  </si>
  <si>
    <t>L1Z1LL517SA569304</t>
  </si>
  <si>
    <t>931352431V</t>
  </si>
  <si>
    <t>Mr. R.M.N.VIRAJ RATHNAYAKE</t>
  </si>
  <si>
    <t>BOK-R26712</t>
  </si>
  <si>
    <t>LGMMVU1K2T0001956</t>
  </si>
  <si>
    <t>750440584V</t>
  </si>
  <si>
    <t>Mr. W.RUKMAN NISHANTHA</t>
  </si>
  <si>
    <t>BOK-R27125</t>
  </si>
  <si>
    <t>LGMMVU1H2T0000164</t>
  </si>
  <si>
    <t>673660657V</t>
  </si>
  <si>
    <t>Mr. A.M.RANJAN PADMA KUMARA SARATH ADIKARI</t>
  </si>
  <si>
    <t>PENDING DOCUMENTS</t>
  </si>
  <si>
    <t>BFJ-R51124</t>
  </si>
  <si>
    <t>916630980V</t>
  </si>
  <si>
    <t>Miss. KALHARI INDRACHAPA</t>
  </si>
  <si>
    <t>BFJ-R51125</t>
  </si>
  <si>
    <t>G.G.MADUMALI WIJERATHNE</t>
  </si>
  <si>
    <t>PELIYAGODA DISTRICT</t>
  </si>
  <si>
    <t>BHY01</t>
  </si>
  <si>
    <t>RAGAMA</t>
  </si>
  <si>
    <t>BHY-R44122</t>
  </si>
  <si>
    <t>540302090V</t>
  </si>
  <si>
    <t>Mr. MR.WANNI ARACHCHI SARATH</t>
  </si>
  <si>
    <t>BJY01</t>
  </si>
  <si>
    <t>MEDIRIGIRIYA</t>
  </si>
  <si>
    <t>BJY-R25210</t>
  </si>
  <si>
    <t>Mr. G W ACHALAKA SAMAN KUMARA</t>
  </si>
  <si>
    <t>MEGA NORTH- DISTRICT</t>
  </si>
  <si>
    <t>MAL-R163888</t>
  </si>
  <si>
    <t>955951867V</t>
  </si>
  <si>
    <t>MRS.Y M O K G SOYZA</t>
  </si>
  <si>
    <t>TLJ-R199</t>
  </si>
  <si>
    <t>741881047V</t>
  </si>
  <si>
    <t>Mr. K.K.JANAKA KUMARASIRI GUNASEKara</t>
  </si>
  <si>
    <t>TLJ-R211</t>
  </si>
  <si>
    <t>Mr. A G C PRADEEP KUMARASIRI</t>
  </si>
  <si>
    <t>BKG01</t>
  </si>
  <si>
    <t>BIBILE</t>
  </si>
  <si>
    <t>BKG-R30339</t>
  </si>
  <si>
    <t>A.M.GUNARATHNA</t>
  </si>
  <si>
    <t>BOK-R27457</t>
  </si>
  <si>
    <t>876782430V</t>
  </si>
  <si>
    <t>Miss. W M S NILUSHIKA DASANAYAKA</t>
  </si>
  <si>
    <t>BOK-R27240</t>
  </si>
  <si>
    <t>952091263V</t>
  </si>
  <si>
    <t>Mr. W.D. KAWSHALYA WITHANAGE</t>
  </si>
  <si>
    <t>BBL-R30617</t>
  </si>
  <si>
    <t>857112334V</t>
  </si>
  <si>
    <t>Mrs. D M S K DISANAYAKA</t>
  </si>
  <si>
    <t>SGSAFA4S25B000669</t>
  </si>
  <si>
    <t>SFL CREDIT SALE</t>
  </si>
  <si>
    <t>SGSAFA4S25B000746</t>
  </si>
  <si>
    <t>LGMMVU1K3T0002131</t>
  </si>
  <si>
    <t>LGMMVU1K5T0002177</t>
  </si>
  <si>
    <t>SGSAFA4S25C000897</t>
  </si>
  <si>
    <t>SALE RETURN</t>
  </si>
  <si>
    <t xml:space="preserve">SALE RETURN </t>
  </si>
  <si>
    <t>L1Z1LL517SA567634</t>
  </si>
  <si>
    <t>LGMMVU1K8T0002108</t>
  </si>
  <si>
    <t>SGSAFA4S25A000094</t>
  </si>
  <si>
    <t>LGMMVU1KST0002521</t>
  </si>
  <si>
    <t>LGMMVU1K9T0002103</t>
  </si>
  <si>
    <t>Mercantile Investments and Finance PLC</t>
  </si>
  <si>
    <t>LGMMVU1K1T0001978</t>
  </si>
  <si>
    <t xml:space="preserve">LGMMVU1H1S0000672 </t>
  </si>
  <si>
    <t>Arrears Days As@ 2026.10.14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</si>
</sst>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1" fontId="4" fillId="2" borderId="1" xfId="1" applyNumberFormat="1" applyFont="1" applyFill="1" applyBorder="1" applyAlignment="1">
      <alignment horizontal="left" vertical="center" wrapText="1"/>
    </xf>
    <xf numFmtId="165" fontId="4" fillId="2" borderId="1" xfId="1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left"/>
    </xf>
    <xf numFmtId="165" fontId="5" fillId="0" borderId="1" xfId="1" applyNumberFormat="1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165" fontId="6" fillId="0" borderId="1" xfId="1" applyNumberFormat="1" applyFont="1" applyFill="1" applyBorder="1" applyAlignment="1">
      <alignment horizontal="left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1" fontId="6" fillId="0" borderId="1" xfId="0" applyNumberFormat="1" applyFont="1" applyBorder="1" applyAlignment="1">
      <alignment horizont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2">
    <cellStyle name="Comma" xfId="1" builtinId="3"/>
    <cellStyle name="Normal" xfId="0" builtinId="0"/>
  </cellStyles>
  <dxfs count="121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1"/>
  <sheetViews>
    <sheetView tabSelected="1" workbookViewId="0"/>
  </sheetViews>
  <sheetFormatPr defaultColWidth="8.7265625" defaultRowHeight="14.5"/>
  <cols>
    <col min="1" max="1" width="15.08984375" customWidth="1"/>
    <col min="2" max="2" width="26.08984375" customWidth="1"/>
    <col min="3" max="3" width="11.36328125" customWidth="1"/>
    <col min="4" max="4" width="15.90625" customWidth="1"/>
    <col min="5" max="5" width="12.6328125" customWidth="1"/>
    <col min="6" max="6" width="20" customWidth="1"/>
    <col min="7" max="7" width="8.26953125" customWidth="1"/>
    <col min="8" max="8" width="11.81640625" customWidth="1"/>
    <col min="9" max="9" width="40" customWidth="1"/>
    <col min="10" max="10" width="9.453125" customWidth="1"/>
    <col min="11" max="11" width="6.54296875" customWidth="1"/>
    <col min="12" max="12" width="9.36328125" customWidth="1"/>
    <col min="13" max="13" width="9.7265625" customWidth="1"/>
    <col min="14" max="14" width="8.1796875" customWidth="1"/>
    <col min="15" max="15" width="13.453125" customWidth="1"/>
    <col min="16" max="16" width="13.7265625" customWidth="1"/>
    <col min="17" max="17" width="40.1796875" customWidth="1"/>
    <col min="18" max="18" width="38.08984375" customWidth="1"/>
    <col min="19" max="19" width="27.6328125" bestFit="1" customWidth="1"/>
    <col min="20" max="20" width="16" customWidth="1"/>
    <col min="21" max="21" width="8.7265625" customWidth="1"/>
  </cols>
  <sheetData>
    <row r="1" spans="1:20" ht="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4" t="s">
        <v>11</v>
      </c>
      <c r="M1" s="4">
        <v>46309</v>
      </c>
      <c r="N1" s="6" t="s">
        <v>491</v>
      </c>
      <c r="O1" s="7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3" t="s">
        <v>237</v>
      </c>
      <c r="B2" s="3" t="s">
        <v>238</v>
      </c>
      <c r="C2" s="3" t="s">
        <v>239</v>
      </c>
      <c r="D2" s="3" t="s">
        <v>240</v>
      </c>
      <c r="E2" s="3" t="s">
        <v>241</v>
      </c>
      <c r="F2" s="2" t="s">
        <v>242</v>
      </c>
      <c r="G2" s="3" t="s">
        <v>24</v>
      </c>
      <c r="H2" s="3" t="s">
        <v>243</v>
      </c>
      <c r="I2" s="3" t="s">
        <v>244</v>
      </c>
      <c r="J2" s="13">
        <v>46112</v>
      </c>
      <c r="K2" s="14">
        <v>60</v>
      </c>
      <c r="L2" s="13">
        <v>46172</v>
      </c>
      <c r="M2" s="10">
        <v>46309</v>
      </c>
      <c r="N2" s="18">
        <f>M2-L2</f>
        <v>137</v>
      </c>
      <c r="O2" s="15">
        <v>475000</v>
      </c>
      <c r="P2" s="15">
        <v>475000</v>
      </c>
      <c r="Q2" s="16" t="s">
        <v>476</v>
      </c>
      <c r="R2" s="16" t="s">
        <v>39</v>
      </c>
      <c r="S2" s="16" t="s">
        <v>236</v>
      </c>
      <c r="T2" s="16" t="s">
        <v>92</v>
      </c>
    </row>
    <row r="3" spans="1:20">
      <c r="A3" s="3" t="s">
        <v>148</v>
      </c>
      <c r="B3" s="3" t="s">
        <v>149</v>
      </c>
      <c r="C3" s="3" t="s">
        <v>368</v>
      </c>
      <c r="D3" s="3" t="s">
        <v>369</v>
      </c>
      <c r="E3" s="3" t="s">
        <v>370</v>
      </c>
      <c r="F3" s="2" t="s">
        <v>371</v>
      </c>
      <c r="G3" s="3" t="s">
        <v>24</v>
      </c>
      <c r="H3" s="3">
        <v>162303825</v>
      </c>
      <c r="I3" s="3" t="s">
        <v>372</v>
      </c>
      <c r="J3" s="13">
        <v>46173</v>
      </c>
      <c r="K3" s="3">
        <v>30</v>
      </c>
      <c r="L3" s="13">
        <v>46203</v>
      </c>
      <c r="M3" s="10">
        <v>46309</v>
      </c>
      <c r="N3" s="18">
        <f>M3-L3</f>
        <v>106</v>
      </c>
      <c r="O3" s="15">
        <v>495000</v>
      </c>
      <c r="P3" s="15">
        <v>495000</v>
      </c>
      <c r="Q3" s="16" t="s">
        <v>476</v>
      </c>
      <c r="R3" s="16" t="s">
        <v>39</v>
      </c>
      <c r="S3" s="16" t="s">
        <v>91</v>
      </c>
      <c r="T3" s="16" t="s">
        <v>30</v>
      </c>
    </row>
    <row r="4" spans="1:20">
      <c r="A4" s="2" t="s">
        <v>18</v>
      </c>
      <c r="B4" s="2" t="s">
        <v>19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24</v>
      </c>
      <c r="H4" s="2" t="s">
        <v>56</v>
      </c>
      <c r="I4" s="2" t="s">
        <v>57</v>
      </c>
      <c r="J4" s="8">
        <v>46112</v>
      </c>
      <c r="K4" s="9">
        <v>90</v>
      </c>
      <c r="L4" s="8">
        <v>46202</v>
      </c>
      <c r="M4" s="10">
        <v>46309</v>
      </c>
      <c r="N4" s="18">
        <f>M4-L4</f>
        <v>107</v>
      </c>
      <c r="O4" s="12">
        <v>550000</v>
      </c>
      <c r="P4" s="12">
        <v>550000</v>
      </c>
      <c r="Q4" s="16" t="s">
        <v>27</v>
      </c>
      <c r="R4" s="16" t="s">
        <v>58</v>
      </c>
      <c r="S4" s="16" t="s">
        <v>29</v>
      </c>
      <c r="T4" s="16" t="s">
        <v>30</v>
      </c>
    </row>
    <row r="5" spans="1:20">
      <c r="A5" s="3" t="s">
        <v>157</v>
      </c>
      <c r="B5" s="3" t="s">
        <v>19</v>
      </c>
      <c r="C5" s="3" t="s">
        <v>52</v>
      </c>
      <c r="D5" s="3" t="s">
        <v>53</v>
      </c>
      <c r="E5" s="3" t="s">
        <v>377</v>
      </c>
      <c r="F5" s="2" t="s">
        <v>378</v>
      </c>
      <c r="G5" s="3" t="s">
        <v>24</v>
      </c>
      <c r="H5" s="3">
        <v>8005902216</v>
      </c>
      <c r="I5" s="3" t="s">
        <v>379</v>
      </c>
      <c r="J5" s="13">
        <v>46150</v>
      </c>
      <c r="K5" s="14">
        <v>90</v>
      </c>
      <c r="L5" s="13">
        <v>46240</v>
      </c>
      <c r="M5" s="10">
        <v>46309</v>
      </c>
      <c r="N5" s="18">
        <f>M5-L5</f>
        <v>69</v>
      </c>
      <c r="O5" s="15">
        <v>495000</v>
      </c>
      <c r="P5" s="15">
        <v>495000</v>
      </c>
      <c r="Q5" s="16" t="s">
        <v>476</v>
      </c>
      <c r="R5" s="16" t="s">
        <v>39</v>
      </c>
      <c r="S5" s="16" t="s">
        <v>29</v>
      </c>
      <c r="T5" s="16" t="s">
        <v>30</v>
      </c>
    </row>
    <row r="6" spans="1:20">
      <c r="A6" s="3" t="s">
        <v>157</v>
      </c>
      <c r="B6" s="3" t="s">
        <v>19</v>
      </c>
      <c r="C6" s="3" t="s">
        <v>52</v>
      </c>
      <c r="D6" s="3" t="s">
        <v>53</v>
      </c>
      <c r="E6" s="3" t="s">
        <v>472</v>
      </c>
      <c r="F6" s="2" t="s">
        <v>489</v>
      </c>
      <c r="G6" s="3" t="s">
        <v>24</v>
      </c>
      <c r="H6" s="3" t="s">
        <v>473</v>
      </c>
      <c r="I6" s="3" t="s">
        <v>474</v>
      </c>
      <c r="J6" s="13">
        <v>46190</v>
      </c>
      <c r="K6" s="3">
        <v>90</v>
      </c>
      <c r="L6" s="13">
        <f>J6+K6</f>
        <v>46280</v>
      </c>
      <c r="M6" s="10">
        <v>46309</v>
      </c>
      <c r="N6" s="18">
        <f>M6-L6</f>
        <v>29</v>
      </c>
      <c r="O6" s="15">
        <v>550000</v>
      </c>
      <c r="P6" s="15">
        <v>550000</v>
      </c>
      <c r="Q6" s="19" t="s">
        <v>27</v>
      </c>
      <c r="R6" s="16" t="s">
        <v>488</v>
      </c>
      <c r="S6" s="19" t="s">
        <v>29</v>
      </c>
      <c r="T6" s="19" t="s">
        <v>92</v>
      </c>
    </row>
    <row r="7" spans="1:20">
      <c r="A7" s="3" t="s">
        <v>157</v>
      </c>
      <c r="B7" s="3" t="s">
        <v>19</v>
      </c>
      <c r="C7" s="3" t="s">
        <v>356</v>
      </c>
      <c r="D7" s="3" t="s">
        <v>357</v>
      </c>
      <c r="E7" s="3" t="s">
        <v>358</v>
      </c>
      <c r="F7" s="2" t="s">
        <v>359</v>
      </c>
      <c r="G7" s="3" t="s">
        <v>24</v>
      </c>
      <c r="H7" s="3" t="s">
        <v>360</v>
      </c>
      <c r="I7" s="3" t="s">
        <v>361</v>
      </c>
      <c r="J7" s="13">
        <v>46112</v>
      </c>
      <c r="K7" s="14">
        <v>90</v>
      </c>
      <c r="L7" s="13">
        <f>J7+K7</f>
        <v>46202</v>
      </c>
      <c r="M7" s="10">
        <v>46309</v>
      </c>
      <c r="N7" s="18">
        <f>M7-L7</f>
        <v>107</v>
      </c>
      <c r="O7" s="15">
        <v>495000</v>
      </c>
      <c r="P7" s="15">
        <v>495000</v>
      </c>
      <c r="Q7" s="19" t="s">
        <v>156</v>
      </c>
      <c r="R7" s="19" t="s">
        <v>156</v>
      </c>
      <c r="S7" s="19" t="s">
        <v>236</v>
      </c>
      <c r="T7" s="19" t="s">
        <v>92</v>
      </c>
    </row>
    <row r="8" spans="1:20">
      <c r="A8" s="3" t="s">
        <v>148</v>
      </c>
      <c r="B8" s="3" t="s">
        <v>402</v>
      </c>
      <c r="C8" s="3" t="s">
        <v>403</v>
      </c>
      <c r="D8" s="3" t="s">
        <v>404</v>
      </c>
      <c r="E8" s="3" t="s">
        <v>405</v>
      </c>
      <c r="F8" s="2" t="s">
        <v>406</v>
      </c>
      <c r="G8" s="3" t="s">
        <v>24</v>
      </c>
      <c r="H8" s="3" t="s">
        <v>407</v>
      </c>
      <c r="I8" s="3" t="s">
        <v>408</v>
      </c>
      <c r="J8" s="13">
        <v>46203</v>
      </c>
      <c r="K8" s="3">
        <v>60</v>
      </c>
      <c r="L8" s="13">
        <v>46263</v>
      </c>
      <c r="M8" s="10">
        <v>46309</v>
      </c>
      <c r="N8" s="18">
        <f>M8-L8</f>
        <v>46</v>
      </c>
      <c r="O8" s="15">
        <v>475000</v>
      </c>
      <c r="P8" s="15">
        <v>475000</v>
      </c>
      <c r="Q8" s="16" t="s">
        <v>476</v>
      </c>
      <c r="R8" s="16" t="s">
        <v>39</v>
      </c>
      <c r="S8" s="16" t="s">
        <v>40</v>
      </c>
      <c r="T8" s="16" t="s">
        <v>92</v>
      </c>
    </row>
    <row r="9" spans="1:20">
      <c r="A9" s="3" t="s">
        <v>181</v>
      </c>
      <c r="B9" s="3" t="s">
        <v>316</v>
      </c>
      <c r="C9" s="3" t="s">
        <v>317</v>
      </c>
      <c r="D9" s="3" t="s">
        <v>318</v>
      </c>
      <c r="E9" s="3" t="s">
        <v>319</v>
      </c>
      <c r="F9" s="2" t="s">
        <v>320</v>
      </c>
      <c r="G9" s="3" t="s">
        <v>24</v>
      </c>
      <c r="H9" s="3">
        <v>419502402</v>
      </c>
      <c r="I9" s="3" t="s">
        <v>321</v>
      </c>
      <c r="J9" s="13">
        <v>46142</v>
      </c>
      <c r="K9" s="3">
        <v>60</v>
      </c>
      <c r="L9" s="13">
        <v>46202</v>
      </c>
      <c r="M9" s="10">
        <v>46309</v>
      </c>
      <c r="N9" s="18">
        <f>M9-L9</f>
        <v>107</v>
      </c>
      <c r="O9" s="15">
        <v>375000</v>
      </c>
      <c r="P9" s="15">
        <v>375000</v>
      </c>
      <c r="Q9" s="16" t="s">
        <v>476</v>
      </c>
      <c r="R9" s="16" t="s">
        <v>39</v>
      </c>
      <c r="S9" s="16" t="s">
        <v>91</v>
      </c>
      <c r="T9" s="16" t="s">
        <v>92</v>
      </c>
    </row>
    <row r="10" spans="1:20">
      <c r="A10" s="3" t="s">
        <v>181</v>
      </c>
      <c r="B10" s="3" t="s">
        <v>182</v>
      </c>
      <c r="C10" s="3" t="s">
        <v>183</v>
      </c>
      <c r="D10" s="3" t="s">
        <v>184</v>
      </c>
      <c r="E10" s="3" t="s">
        <v>185</v>
      </c>
      <c r="F10" s="2" t="s">
        <v>186</v>
      </c>
      <c r="G10" s="3" t="s">
        <v>24</v>
      </c>
      <c r="H10" s="3" t="s">
        <v>187</v>
      </c>
      <c r="I10" s="3" t="s">
        <v>188</v>
      </c>
      <c r="J10" s="13">
        <v>46109</v>
      </c>
      <c r="K10" s="14">
        <v>60</v>
      </c>
      <c r="L10" s="13">
        <v>46169</v>
      </c>
      <c r="M10" s="10">
        <v>46309</v>
      </c>
      <c r="N10" s="18">
        <f>M10-L10</f>
        <v>140</v>
      </c>
      <c r="O10" s="15">
        <v>495000</v>
      </c>
      <c r="P10" s="15">
        <v>495000</v>
      </c>
      <c r="Q10" s="16" t="s">
        <v>476</v>
      </c>
      <c r="R10" s="16" t="s">
        <v>39</v>
      </c>
      <c r="S10" s="16" t="s">
        <v>236</v>
      </c>
      <c r="T10" s="16" t="s">
        <v>92</v>
      </c>
    </row>
    <row r="11" spans="1:20">
      <c r="A11" s="3" t="s">
        <v>181</v>
      </c>
      <c r="B11" s="3" t="s">
        <v>182</v>
      </c>
      <c r="C11" s="3" t="s">
        <v>183</v>
      </c>
      <c r="D11" s="3" t="s">
        <v>184</v>
      </c>
      <c r="E11" s="3" t="s">
        <v>215</v>
      </c>
      <c r="F11" s="2" t="s">
        <v>216</v>
      </c>
      <c r="G11" s="3" t="s">
        <v>24</v>
      </c>
      <c r="H11" s="3" t="s">
        <v>217</v>
      </c>
      <c r="I11" s="3" t="s">
        <v>218</v>
      </c>
      <c r="J11" s="13">
        <v>46111</v>
      </c>
      <c r="K11" s="14">
        <v>60</v>
      </c>
      <c r="L11" s="13">
        <v>46171</v>
      </c>
      <c r="M11" s="10">
        <v>46309</v>
      </c>
      <c r="N11" s="18">
        <f>M11-L11</f>
        <v>138</v>
      </c>
      <c r="O11" s="15">
        <v>495000</v>
      </c>
      <c r="P11" s="15">
        <v>247500</v>
      </c>
      <c r="Q11" s="16" t="s">
        <v>476</v>
      </c>
      <c r="R11" s="16" t="s">
        <v>39</v>
      </c>
      <c r="S11" s="16" t="s">
        <v>40</v>
      </c>
      <c r="T11" s="16" t="s">
        <v>30</v>
      </c>
    </row>
    <row r="12" spans="1:20">
      <c r="A12" s="3" t="s">
        <v>181</v>
      </c>
      <c r="B12" s="3" t="s">
        <v>182</v>
      </c>
      <c r="C12" s="3" t="s">
        <v>183</v>
      </c>
      <c r="D12" s="3" t="s">
        <v>184</v>
      </c>
      <c r="E12" s="3" t="s">
        <v>211</v>
      </c>
      <c r="F12" s="2" t="s">
        <v>212</v>
      </c>
      <c r="G12" s="3" t="s">
        <v>24</v>
      </c>
      <c r="H12" s="3" t="s">
        <v>213</v>
      </c>
      <c r="I12" s="3" t="s">
        <v>214</v>
      </c>
      <c r="J12" s="13">
        <v>46111</v>
      </c>
      <c r="K12" s="14">
        <v>60</v>
      </c>
      <c r="L12" s="13">
        <v>46171</v>
      </c>
      <c r="M12" s="10">
        <v>46309</v>
      </c>
      <c r="N12" s="18">
        <f>M12-L12</f>
        <v>138</v>
      </c>
      <c r="O12" s="15">
        <v>495000</v>
      </c>
      <c r="P12" s="15">
        <v>247500</v>
      </c>
      <c r="Q12" s="16" t="s">
        <v>476</v>
      </c>
      <c r="R12" s="16" t="s">
        <v>39</v>
      </c>
      <c r="S12" s="16" t="s">
        <v>40</v>
      </c>
      <c r="T12" s="16" t="s">
        <v>30</v>
      </c>
    </row>
    <row r="13" spans="1:20">
      <c r="A13" s="3" t="s">
        <v>181</v>
      </c>
      <c r="B13" s="3" t="s">
        <v>182</v>
      </c>
      <c r="C13" s="3" t="s">
        <v>183</v>
      </c>
      <c r="D13" s="3" t="s">
        <v>184</v>
      </c>
      <c r="E13" s="3" t="s">
        <v>219</v>
      </c>
      <c r="F13" s="2" t="s">
        <v>220</v>
      </c>
      <c r="G13" s="3" t="s">
        <v>24</v>
      </c>
      <c r="H13" s="3">
        <v>70602147</v>
      </c>
      <c r="I13" s="3" t="s">
        <v>221</v>
      </c>
      <c r="J13" s="13">
        <v>46111</v>
      </c>
      <c r="K13" s="14">
        <v>60</v>
      </c>
      <c r="L13" s="13">
        <v>46171</v>
      </c>
      <c r="M13" s="10">
        <v>46309</v>
      </c>
      <c r="N13" s="18">
        <f>M13-L13</f>
        <v>138</v>
      </c>
      <c r="O13" s="15">
        <v>495000</v>
      </c>
      <c r="P13" s="15">
        <v>245000</v>
      </c>
      <c r="Q13" s="16" t="s">
        <v>476</v>
      </c>
      <c r="R13" s="16" t="s">
        <v>39</v>
      </c>
      <c r="S13" s="16" t="s">
        <v>40</v>
      </c>
      <c r="T13" s="16" t="s">
        <v>92</v>
      </c>
    </row>
    <row r="14" spans="1:20">
      <c r="A14" s="3" t="s">
        <v>181</v>
      </c>
      <c r="B14" s="3" t="s">
        <v>182</v>
      </c>
      <c r="C14" s="3" t="s">
        <v>183</v>
      </c>
      <c r="D14" s="3" t="s">
        <v>184</v>
      </c>
      <c r="E14" s="3" t="s">
        <v>208</v>
      </c>
      <c r="F14" s="2" t="s">
        <v>209</v>
      </c>
      <c r="G14" s="3" t="s">
        <v>24</v>
      </c>
      <c r="H14" s="3">
        <v>7701603390</v>
      </c>
      <c r="I14" s="3" t="s">
        <v>210</v>
      </c>
      <c r="J14" s="13">
        <v>46111</v>
      </c>
      <c r="K14" s="14">
        <v>60</v>
      </c>
      <c r="L14" s="13">
        <v>46171</v>
      </c>
      <c r="M14" s="10">
        <v>46309</v>
      </c>
      <c r="N14" s="18">
        <f>M14-L14</f>
        <v>138</v>
      </c>
      <c r="O14" s="15">
        <v>495000</v>
      </c>
      <c r="P14" s="15">
        <v>245000</v>
      </c>
      <c r="Q14" s="16" t="s">
        <v>476</v>
      </c>
      <c r="R14" s="16" t="s">
        <v>39</v>
      </c>
      <c r="S14" s="16" t="s">
        <v>40</v>
      </c>
      <c r="T14" s="16" t="s">
        <v>30</v>
      </c>
    </row>
    <row r="15" spans="1:20">
      <c r="A15" s="3" t="s">
        <v>195</v>
      </c>
      <c r="B15" s="3" t="s">
        <v>32</v>
      </c>
      <c r="C15" s="3" t="s">
        <v>33</v>
      </c>
      <c r="D15" s="3" t="s">
        <v>34</v>
      </c>
      <c r="E15" s="3" t="s">
        <v>196</v>
      </c>
      <c r="F15" s="2" t="s">
        <v>197</v>
      </c>
      <c r="G15" s="3" t="s">
        <v>24</v>
      </c>
      <c r="H15" s="3" t="s">
        <v>198</v>
      </c>
      <c r="I15" s="3" t="s">
        <v>199</v>
      </c>
      <c r="J15" s="13">
        <v>46109</v>
      </c>
      <c r="K15" s="14">
        <v>60</v>
      </c>
      <c r="L15" s="13">
        <v>46169</v>
      </c>
      <c r="M15" s="10">
        <v>46309</v>
      </c>
      <c r="N15" s="18">
        <f>M15-L15</f>
        <v>140</v>
      </c>
      <c r="O15" s="15">
        <v>495000</v>
      </c>
      <c r="P15" s="15">
        <v>495000</v>
      </c>
      <c r="Q15" s="16" t="s">
        <v>476</v>
      </c>
      <c r="R15" s="16" t="s">
        <v>39</v>
      </c>
      <c r="S15" s="16" t="s">
        <v>40</v>
      </c>
      <c r="T15" s="16" t="s">
        <v>30</v>
      </c>
    </row>
    <row r="16" spans="1:20">
      <c r="A16" s="2" t="s">
        <v>31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24</v>
      </c>
      <c r="H16" s="2" t="s">
        <v>37</v>
      </c>
      <c r="I16" s="2" t="s">
        <v>38</v>
      </c>
      <c r="J16" s="8">
        <v>46134</v>
      </c>
      <c r="K16" s="2">
        <v>60</v>
      </c>
      <c r="L16" s="8">
        <v>46194</v>
      </c>
      <c r="M16" s="10">
        <v>46309</v>
      </c>
      <c r="N16" s="18">
        <f>M16-L16</f>
        <v>115</v>
      </c>
      <c r="O16" s="12">
        <v>475000</v>
      </c>
      <c r="P16" s="12">
        <v>475000</v>
      </c>
      <c r="Q16" s="16" t="s">
        <v>476</v>
      </c>
      <c r="R16" s="16" t="s">
        <v>39</v>
      </c>
      <c r="S16" s="16" t="s">
        <v>40</v>
      </c>
      <c r="T16" s="16" t="s">
        <v>30</v>
      </c>
    </row>
    <row r="17" spans="1:20">
      <c r="A17" s="2" t="s">
        <v>31</v>
      </c>
      <c r="B17" s="2" t="s">
        <v>32</v>
      </c>
      <c r="C17" s="2" t="s">
        <v>33</v>
      </c>
      <c r="D17" s="2" t="s">
        <v>34</v>
      </c>
      <c r="E17" s="2" t="s">
        <v>81</v>
      </c>
      <c r="F17" s="2" t="s">
        <v>82</v>
      </c>
      <c r="G17" s="2" t="s">
        <v>24</v>
      </c>
      <c r="H17" s="2" t="s">
        <v>83</v>
      </c>
      <c r="I17" s="2" t="s">
        <v>84</v>
      </c>
      <c r="J17" s="8">
        <v>46167</v>
      </c>
      <c r="K17" s="9">
        <v>60</v>
      </c>
      <c r="L17" s="8">
        <v>46227</v>
      </c>
      <c r="M17" s="10">
        <v>46309</v>
      </c>
      <c r="N17" s="18">
        <f>M17-L17</f>
        <v>82</v>
      </c>
      <c r="O17" s="11">
        <v>375000</v>
      </c>
      <c r="P17" s="11">
        <v>375000</v>
      </c>
      <c r="Q17" s="16" t="s">
        <v>476</v>
      </c>
      <c r="R17" s="16" t="s">
        <v>39</v>
      </c>
      <c r="S17" s="16" t="s">
        <v>40</v>
      </c>
      <c r="T17" s="16" t="s">
        <v>30</v>
      </c>
    </row>
    <row r="18" spans="1:20">
      <c r="A18" s="3" t="s">
        <v>195</v>
      </c>
      <c r="B18" s="3" t="s">
        <v>32</v>
      </c>
      <c r="C18" s="3" t="s">
        <v>123</v>
      </c>
      <c r="D18" s="3" t="s">
        <v>124</v>
      </c>
      <c r="E18" s="3" t="s">
        <v>290</v>
      </c>
      <c r="F18" s="2" t="s">
        <v>291</v>
      </c>
      <c r="G18" s="3" t="s">
        <v>24</v>
      </c>
      <c r="H18" s="3" t="s">
        <v>292</v>
      </c>
      <c r="I18" s="3" t="s">
        <v>293</v>
      </c>
      <c r="J18" s="13">
        <v>46112</v>
      </c>
      <c r="K18" s="14">
        <v>60</v>
      </c>
      <c r="L18" s="13">
        <v>46172</v>
      </c>
      <c r="M18" s="10">
        <v>46309</v>
      </c>
      <c r="N18" s="18">
        <f>M18-L18</f>
        <v>137</v>
      </c>
      <c r="O18" s="15">
        <v>550000</v>
      </c>
      <c r="P18" s="15">
        <v>550000</v>
      </c>
      <c r="Q18" s="16" t="s">
        <v>156</v>
      </c>
      <c r="R18" s="16" t="s">
        <v>156</v>
      </c>
      <c r="S18" s="16" t="s">
        <v>156</v>
      </c>
      <c r="T18" s="16" t="s">
        <v>30</v>
      </c>
    </row>
    <row r="19" spans="1:20">
      <c r="A19" s="2" t="s">
        <v>31</v>
      </c>
      <c r="B19" s="2" t="s">
        <v>32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24</v>
      </c>
      <c r="H19" s="2">
        <v>9558901201</v>
      </c>
      <c r="I19" s="2" t="s">
        <v>127</v>
      </c>
      <c r="J19" s="8">
        <v>46173</v>
      </c>
      <c r="K19" s="2">
        <v>60</v>
      </c>
      <c r="L19" s="8">
        <v>46233</v>
      </c>
      <c r="M19" s="10">
        <v>46309</v>
      </c>
      <c r="N19" s="18">
        <f>M19-L19</f>
        <v>76</v>
      </c>
      <c r="O19" s="11">
        <v>375000</v>
      </c>
      <c r="P19" s="11">
        <v>375000</v>
      </c>
      <c r="Q19" s="16" t="s">
        <v>476</v>
      </c>
      <c r="R19" s="16" t="s">
        <v>39</v>
      </c>
      <c r="S19" s="16" t="s">
        <v>40</v>
      </c>
      <c r="T19" s="16" t="s">
        <v>30</v>
      </c>
    </row>
    <row r="20" spans="1:20">
      <c r="A20" s="2" t="s">
        <v>31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24</v>
      </c>
      <c r="H20" s="2" t="s">
        <v>140</v>
      </c>
      <c r="I20" s="2" t="s">
        <v>141</v>
      </c>
      <c r="J20" s="8">
        <v>46173</v>
      </c>
      <c r="K20" s="2">
        <v>60</v>
      </c>
      <c r="L20" s="8">
        <v>46233</v>
      </c>
      <c r="M20" s="10">
        <v>46309</v>
      </c>
      <c r="N20" s="18">
        <f>M20-L20</f>
        <v>76</v>
      </c>
      <c r="O20" s="11">
        <v>375000</v>
      </c>
      <c r="P20" s="11">
        <v>375000</v>
      </c>
      <c r="Q20" s="16" t="s">
        <v>476</v>
      </c>
      <c r="R20" s="16" t="s">
        <v>39</v>
      </c>
      <c r="S20" s="16" t="s">
        <v>40</v>
      </c>
      <c r="T20" s="16" t="s">
        <v>30</v>
      </c>
    </row>
    <row r="21" spans="1:20">
      <c r="A21" s="3" t="s">
        <v>195</v>
      </c>
      <c r="B21" s="3" t="s">
        <v>32</v>
      </c>
      <c r="C21" s="3" t="s">
        <v>285</v>
      </c>
      <c r="D21" s="3" t="s">
        <v>286</v>
      </c>
      <c r="E21" s="3" t="s">
        <v>287</v>
      </c>
      <c r="F21" s="2" t="s">
        <v>288</v>
      </c>
      <c r="G21" s="3" t="s">
        <v>24</v>
      </c>
      <c r="H21" s="3">
        <v>8986603515</v>
      </c>
      <c r="I21" s="3" t="s">
        <v>289</v>
      </c>
      <c r="J21" s="13">
        <v>46112</v>
      </c>
      <c r="K21" s="14">
        <v>60</v>
      </c>
      <c r="L21" s="13">
        <v>46172</v>
      </c>
      <c r="M21" s="10">
        <v>46309</v>
      </c>
      <c r="N21" s="18">
        <f>M21-L21</f>
        <v>137</v>
      </c>
      <c r="O21" s="15">
        <v>550000</v>
      </c>
      <c r="P21" s="15">
        <v>550000</v>
      </c>
      <c r="Q21" s="16" t="s">
        <v>156</v>
      </c>
      <c r="R21" s="16" t="s">
        <v>156</v>
      </c>
      <c r="S21" s="16" t="s">
        <v>156</v>
      </c>
      <c r="T21" s="16" t="s">
        <v>30</v>
      </c>
    </row>
    <row r="22" spans="1:20">
      <c r="A22" s="3" t="s">
        <v>195</v>
      </c>
      <c r="B22" s="3" t="s">
        <v>32</v>
      </c>
      <c r="C22" s="3" t="s">
        <v>341</v>
      </c>
      <c r="D22" s="3" t="s">
        <v>342</v>
      </c>
      <c r="E22" s="3" t="s">
        <v>343</v>
      </c>
      <c r="F22" s="2" t="s">
        <v>344</v>
      </c>
      <c r="G22" s="3" t="s">
        <v>24</v>
      </c>
      <c r="H22" s="3" t="s">
        <v>345</v>
      </c>
      <c r="I22" s="3" t="s">
        <v>346</v>
      </c>
      <c r="J22" s="13">
        <v>46142</v>
      </c>
      <c r="K22" s="3">
        <v>60</v>
      </c>
      <c r="L22" s="13">
        <f>J22+K22</f>
        <v>46202</v>
      </c>
      <c r="M22" s="10">
        <v>46309</v>
      </c>
      <c r="N22" s="18">
        <f>M22-L22</f>
        <v>107</v>
      </c>
      <c r="O22" s="15">
        <v>475000</v>
      </c>
      <c r="P22" s="15">
        <v>475000</v>
      </c>
      <c r="Q22" s="19" t="s">
        <v>156</v>
      </c>
      <c r="R22" s="19" t="s">
        <v>156</v>
      </c>
      <c r="S22" s="20" t="s">
        <v>482</v>
      </c>
      <c r="T22" s="19" t="s">
        <v>92</v>
      </c>
    </row>
    <row r="23" spans="1:20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49</v>
      </c>
      <c r="F23" s="2" t="s">
        <v>50</v>
      </c>
      <c r="G23" s="2" t="s">
        <v>24</v>
      </c>
      <c r="H23" s="2">
        <v>251002814</v>
      </c>
      <c r="I23" s="2" t="s">
        <v>51</v>
      </c>
      <c r="J23" s="8">
        <v>46112</v>
      </c>
      <c r="K23" s="9">
        <v>90</v>
      </c>
      <c r="L23" s="8">
        <v>46202</v>
      </c>
      <c r="M23" s="10">
        <v>46309</v>
      </c>
      <c r="N23" s="18">
        <f>M23-L23</f>
        <v>107</v>
      </c>
      <c r="O23" s="12">
        <v>495000</v>
      </c>
      <c r="P23" s="12">
        <v>495000</v>
      </c>
      <c r="Q23" s="16" t="s">
        <v>476</v>
      </c>
      <c r="R23" s="16" t="s">
        <v>39</v>
      </c>
      <c r="S23" s="16" t="s">
        <v>29</v>
      </c>
      <c r="T23" s="16" t="s">
        <v>30</v>
      </c>
    </row>
    <row r="24" spans="1:20">
      <c r="A24" s="3" t="s">
        <v>229</v>
      </c>
      <c r="B24" s="3" t="s">
        <v>46</v>
      </c>
      <c r="C24" s="3" t="s">
        <v>47</v>
      </c>
      <c r="D24" s="3" t="s">
        <v>48</v>
      </c>
      <c r="E24" s="3" t="s">
        <v>438</v>
      </c>
      <c r="F24" s="2" t="s">
        <v>478</v>
      </c>
      <c r="G24" s="3" t="s">
        <v>24</v>
      </c>
      <c r="H24" s="3" t="s">
        <v>439</v>
      </c>
      <c r="I24" s="3" t="s">
        <v>440</v>
      </c>
      <c r="J24" s="13">
        <v>46203</v>
      </c>
      <c r="K24" s="3">
        <v>90</v>
      </c>
      <c r="L24" s="13">
        <f>J24+K24</f>
        <v>46293</v>
      </c>
      <c r="M24" s="10">
        <v>46309</v>
      </c>
      <c r="N24" s="18">
        <f>M24-L24</f>
        <v>16</v>
      </c>
      <c r="O24" s="15">
        <v>550000</v>
      </c>
      <c r="P24" s="15">
        <v>150000</v>
      </c>
      <c r="Q24" s="19" t="s">
        <v>156</v>
      </c>
      <c r="R24" s="19" t="s">
        <v>156</v>
      </c>
      <c r="S24" s="19" t="s">
        <v>156</v>
      </c>
      <c r="T24" s="19" t="s">
        <v>30</v>
      </c>
    </row>
    <row r="25" spans="1:20">
      <c r="A25" s="3" t="s">
        <v>229</v>
      </c>
      <c r="B25" s="3" t="s">
        <v>46</v>
      </c>
      <c r="C25" s="3" t="s">
        <v>47</v>
      </c>
      <c r="D25" s="3" t="s">
        <v>48</v>
      </c>
      <c r="E25" s="3" t="s">
        <v>441</v>
      </c>
      <c r="F25" s="2" t="s">
        <v>479</v>
      </c>
      <c r="G25" s="3" t="s">
        <v>24</v>
      </c>
      <c r="H25" s="3">
        <v>9751002467</v>
      </c>
      <c r="I25" s="3" t="s">
        <v>442</v>
      </c>
      <c r="J25" s="13">
        <v>46203</v>
      </c>
      <c r="K25" s="3">
        <v>90</v>
      </c>
      <c r="L25" s="13">
        <f>J25+K25</f>
        <v>46293</v>
      </c>
      <c r="M25" s="10">
        <v>46309</v>
      </c>
      <c r="N25" s="18">
        <f>M25-L25</f>
        <v>16</v>
      </c>
      <c r="O25" s="15">
        <v>550000</v>
      </c>
      <c r="P25" s="15">
        <v>220000</v>
      </c>
      <c r="Q25" s="19" t="s">
        <v>156</v>
      </c>
      <c r="R25" s="19" t="s">
        <v>156</v>
      </c>
      <c r="S25" s="19" t="s">
        <v>156</v>
      </c>
      <c r="T25" s="20" t="s">
        <v>30</v>
      </c>
    </row>
    <row r="26" spans="1:20">
      <c r="A26" s="3" t="s">
        <v>383</v>
      </c>
      <c r="B26" s="3" t="s">
        <v>384</v>
      </c>
      <c r="C26" s="3" t="s">
        <v>385</v>
      </c>
      <c r="D26" s="3" t="s">
        <v>386</v>
      </c>
      <c r="E26" s="3" t="s">
        <v>387</v>
      </c>
      <c r="F26" s="2" t="s">
        <v>388</v>
      </c>
      <c r="G26" s="3" t="s">
        <v>24</v>
      </c>
      <c r="H26" s="3" t="s">
        <v>389</v>
      </c>
      <c r="I26" s="3" t="s">
        <v>390</v>
      </c>
      <c r="J26" s="13">
        <v>46203</v>
      </c>
      <c r="K26" s="3">
        <v>45</v>
      </c>
      <c r="L26" s="13">
        <v>46248</v>
      </c>
      <c r="M26" s="10">
        <v>46309</v>
      </c>
      <c r="N26" s="18">
        <f>M26-L26</f>
        <v>61</v>
      </c>
      <c r="O26" s="15">
        <v>495000</v>
      </c>
      <c r="P26" s="15">
        <v>495000</v>
      </c>
      <c r="Q26" s="16" t="s">
        <v>476</v>
      </c>
      <c r="R26" s="16" t="s">
        <v>39</v>
      </c>
      <c r="S26" s="16" t="s">
        <v>40</v>
      </c>
      <c r="T26" s="16" t="s">
        <v>30</v>
      </c>
    </row>
    <row r="27" spans="1:20">
      <c r="A27" s="3" t="s">
        <v>157</v>
      </c>
      <c r="B27" s="3" t="s">
        <v>117</v>
      </c>
      <c r="C27" s="3" t="s">
        <v>305</v>
      </c>
      <c r="D27" s="3" t="s">
        <v>306</v>
      </c>
      <c r="E27" s="3" t="s">
        <v>307</v>
      </c>
      <c r="F27" s="2" t="s">
        <v>308</v>
      </c>
      <c r="G27" s="3" t="s">
        <v>24</v>
      </c>
      <c r="H27" s="3">
        <v>7931304541</v>
      </c>
      <c r="I27" s="3" t="s">
        <v>309</v>
      </c>
      <c r="J27" s="13">
        <v>46109</v>
      </c>
      <c r="K27" s="14">
        <v>90</v>
      </c>
      <c r="L27" s="13">
        <v>46199</v>
      </c>
      <c r="M27" s="10">
        <v>46309</v>
      </c>
      <c r="N27" s="18">
        <f>M27-L27</f>
        <v>110</v>
      </c>
      <c r="O27" s="15">
        <v>495000</v>
      </c>
      <c r="P27" s="15">
        <v>495000</v>
      </c>
      <c r="Q27" s="16" t="s">
        <v>476</v>
      </c>
      <c r="R27" s="16" t="s">
        <v>39</v>
      </c>
      <c r="S27" s="16" t="s">
        <v>40</v>
      </c>
      <c r="T27" s="16" t="s">
        <v>30</v>
      </c>
    </row>
    <row r="28" spans="1:20">
      <c r="A28" s="3" t="s">
        <v>148</v>
      </c>
      <c r="B28" s="3" t="s">
        <v>149</v>
      </c>
      <c r="C28" s="3" t="s">
        <v>245</v>
      </c>
      <c r="D28" s="3" t="s">
        <v>246</v>
      </c>
      <c r="E28" s="3" t="s">
        <v>247</v>
      </c>
      <c r="F28" s="2" t="s">
        <v>248</v>
      </c>
      <c r="G28" s="3" t="s">
        <v>24</v>
      </c>
      <c r="H28" s="3" t="s">
        <v>249</v>
      </c>
      <c r="I28" s="3" t="s">
        <v>250</v>
      </c>
      <c r="J28" s="13">
        <v>46112</v>
      </c>
      <c r="K28" s="14">
        <v>60</v>
      </c>
      <c r="L28" s="13">
        <v>46172</v>
      </c>
      <c r="M28" s="10">
        <v>46309</v>
      </c>
      <c r="N28" s="18">
        <f>M28-L28</f>
        <v>137</v>
      </c>
      <c r="O28" s="15">
        <v>375000</v>
      </c>
      <c r="P28" s="15">
        <v>375000</v>
      </c>
      <c r="Q28" s="16" t="s">
        <v>476</v>
      </c>
      <c r="R28" s="16" t="s">
        <v>39</v>
      </c>
      <c r="S28" s="16" t="s">
        <v>437</v>
      </c>
      <c r="T28" s="16" t="s">
        <v>92</v>
      </c>
    </row>
    <row r="29" spans="1:20">
      <c r="A29" s="3" t="s">
        <v>148</v>
      </c>
      <c r="B29" s="3" t="s">
        <v>149</v>
      </c>
      <c r="C29" s="3" t="s">
        <v>150</v>
      </c>
      <c r="D29" s="3" t="s">
        <v>151</v>
      </c>
      <c r="E29" s="3" t="s">
        <v>152</v>
      </c>
      <c r="F29" s="2" t="s">
        <v>153</v>
      </c>
      <c r="G29" s="3" t="s">
        <v>24</v>
      </c>
      <c r="H29" s="3" t="s">
        <v>154</v>
      </c>
      <c r="I29" s="3" t="s">
        <v>155</v>
      </c>
      <c r="J29" s="13">
        <v>46112</v>
      </c>
      <c r="K29" s="14">
        <v>30</v>
      </c>
      <c r="L29" s="13">
        <v>46142</v>
      </c>
      <c r="M29" s="10">
        <v>46309</v>
      </c>
      <c r="N29" s="18">
        <f>M29-L29</f>
        <v>167</v>
      </c>
      <c r="O29" s="15">
        <v>495000</v>
      </c>
      <c r="P29" s="15">
        <v>495000</v>
      </c>
      <c r="Q29" s="16" t="s">
        <v>156</v>
      </c>
      <c r="R29" s="16" t="s">
        <v>156</v>
      </c>
      <c r="S29" s="16" t="s">
        <v>156</v>
      </c>
      <c r="T29" s="16" t="s">
        <v>30</v>
      </c>
    </row>
    <row r="30" spans="1:20">
      <c r="A30" s="3" t="s">
        <v>148</v>
      </c>
      <c r="B30" s="3" t="s">
        <v>443</v>
      </c>
      <c r="C30" s="3" t="s">
        <v>444</v>
      </c>
      <c r="D30" s="3" t="s">
        <v>445</v>
      </c>
      <c r="E30" s="3" t="s">
        <v>446</v>
      </c>
      <c r="F30" s="2" t="s">
        <v>475</v>
      </c>
      <c r="G30" s="3" t="s">
        <v>24</v>
      </c>
      <c r="H30" s="3" t="s">
        <v>447</v>
      </c>
      <c r="I30" s="3" t="s">
        <v>448</v>
      </c>
      <c r="J30" s="13">
        <v>46234</v>
      </c>
      <c r="K30" s="3">
        <v>60</v>
      </c>
      <c r="L30" s="13">
        <f>J30+K30</f>
        <v>46294</v>
      </c>
      <c r="M30" s="10">
        <v>46309</v>
      </c>
      <c r="N30" s="18">
        <f>M30-L30</f>
        <v>15</v>
      </c>
      <c r="O30" s="15">
        <v>315000</v>
      </c>
      <c r="P30" s="15">
        <v>115000</v>
      </c>
      <c r="Q30" s="19" t="s">
        <v>476</v>
      </c>
      <c r="R30" s="19" t="s">
        <v>39</v>
      </c>
      <c r="S30" s="19" t="s">
        <v>40</v>
      </c>
      <c r="T30" s="19" t="s">
        <v>92</v>
      </c>
    </row>
    <row r="31" spans="1:20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204</v>
      </c>
      <c r="F31" s="2" t="s">
        <v>205</v>
      </c>
      <c r="G31" s="3" t="s">
        <v>24</v>
      </c>
      <c r="H31" s="3" t="s">
        <v>206</v>
      </c>
      <c r="I31" s="3" t="s">
        <v>207</v>
      </c>
      <c r="J31" s="13">
        <v>46111</v>
      </c>
      <c r="K31" s="14">
        <v>60</v>
      </c>
      <c r="L31" s="13">
        <v>46171</v>
      </c>
      <c r="M31" s="10">
        <v>46309</v>
      </c>
      <c r="N31" s="18">
        <f>M31-L31</f>
        <v>138</v>
      </c>
      <c r="O31" s="15">
        <v>550000</v>
      </c>
      <c r="P31" s="15">
        <v>550000</v>
      </c>
      <c r="Q31" s="16" t="s">
        <v>156</v>
      </c>
      <c r="R31" s="16" t="s">
        <v>156</v>
      </c>
      <c r="S31" s="16" t="s">
        <v>156</v>
      </c>
      <c r="T31" s="16" t="s">
        <v>92</v>
      </c>
    </row>
    <row r="32" spans="1:20">
      <c r="A32" s="3" t="s">
        <v>279</v>
      </c>
      <c r="B32" s="3" t="s">
        <v>94</v>
      </c>
      <c r="C32" s="3" t="s">
        <v>280</v>
      </c>
      <c r="D32" s="3" t="s">
        <v>281</v>
      </c>
      <c r="E32" s="3" t="s">
        <v>282</v>
      </c>
      <c r="F32" s="2" t="s">
        <v>283</v>
      </c>
      <c r="G32" s="3" t="s">
        <v>24</v>
      </c>
      <c r="H32" s="3">
        <v>5012804793</v>
      </c>
      <c r="I32" s="3" t="s">
        <v>284</v>
      </c>
      <c r="J32" s="13">
        <v>46142</v>
      </c>
      <c r="K32" s="3">
        <v>30</v>
      </c>
      <c r="L32" s="13">
        <v>46172</v>
      </c>
      <c r="M32" s="10">
        <v>46309</v>
      </c>
      <c r="N32" s="18">
        <f>M32-L32</f>
        <v>137</v>
      </c>
      <c r="O32" s="15">
        <v>475000</v>
      </c>
      <c r="P32" s="15">
        <v>475000</v>
      </c>
      <c r="Q32" s="16" t="s">
        <v>476</v>
      </c>
      <c r="R32" s="16" t="s">
        <v>39</v>
      </c>
      <c r="S32" s="16" t="s">
        <v>91</v>
      </c>
      <c r="T32" s="16" t="s">
        <v>92</v>
      </c>
    </row>
    <row r="33" spans="1:20">
      <c r="A33" s="3" t="s">
        <v>279</v>
      </c>
      <c r="B33" s="3" t="s">
        <v>94</v>
      </c>
      <c r="C33" s="3" t="s">
        <v>322</v>
      </c>
      <c r="D33" s="3" t="s">
        <v>323</v>
      </c>
      <c r="E33" s="3" t="s">
        <v>324</v>
      </c>
      <c r="F33" s="2" t="s">
        <v>325</v>
      </c>
      <c r="G33" s="3" t="s">
        <v>24</v>
      </c>
      <c r="H33" s="3" t="s">
        <v>326</v>
      </c>
      <c r="I33" s="3" t="s">
        <v>327</v>
      </c>
      <c r="J33" s="13">
        <v>46112</v>
      </c>
      <c r="K33" s="14">
        <v>90</v>
      </c>
      <c r="L33" s="13">
        <f>J33+K33</f>
        <v>46202</v>
      </c>
      <c r="M33" s="10">
        <v>46309</v>
      </c>
      <c r="N33" s="18">
        <f>M33-L33</f>
        <v>107</v>
      </c>
      <c r="O33" s="15">
        <v>475000</v>
      </c>
      <c r="P33" s="15">
        <v>475000</v>
      </c>
      <c r="Q33" s="20" t="s">
        <v>476</v>
      </c>
      <c r="R33" s="20" t="s">
        <v>39</v>
      </c>
      <c r="S33" s="20" t="s">
        <v>236</v>
      </c>
      <c r="T33" s="19" t="s">
        <v>92</v>
      </c>
    </row>
    <row r="34" spans="1:20">
      <c r="A34" s="3" t="s">
        <v>279</v>
      </c>
      <c r="B34" s="3" t="s">
        <v>94</v>
      </c>
      <c r="C34" s="3" t="s">
        <v>322</v>
      </c>
      <c r="D34" s="3" t="s">
        <v>323</v>
      </c>
      <c r="E34" s="3" t="s">
        <v>331</v>
      </c>
      <c r="F34" s="2" t="s">
        <v>332</v>
      </c>
      <c r="G34" s="3" t="s">
        <v>24</v>
      </c>
      <c r="H34" s="3" t="s">
        <v>333</v>
      </c>
      <c r="I34" s="3" t="s">
        <v>334</v>
      </c>
      <c r="J34" s="13">
        <v>46112</v>
      </c>
      <c r="K34" s="14">
        <v>90</v>
      </c>
      <c r="L34" s="13">
        <f>J34+K34</f>
        <v>46202</v>
      </c>
      <c r="M34" s="10">
        <v>46309</v>
      </c>
      <c r="N34" s="18">
        <f>M34-L34</f>
        <v>107</v>
      </c>
      <c r="O34" s="15">
        <v>550000</v>
      </c>
      <c r="P34" s="15">
        <v>550000</v>
      </c>
      <c r="Q34" s="20" t="s">
        <v>476</v>
      </c>
      <c r="R34" s="20" t="s">
        <v>39</v>
      </c>
      <c r="S34" s="19" t="s">
        <v>236</v>
      </c>
      <c r="T34" s="19" t="s">
        <v>92</v>
      </c>
    </row>
    <row r="35" spans="1:20">
      <c r="A35" s="3" t="s">
        <v>279</v>
      </c>
      <c r="B35" s="3" t="s">
        <v>94</v>
      </c>
      <c r="C35" s="3" t="s">
        <v>322</v>
      </c>
      <c r="D35" s="3" t="s">
        <v>323</v>
      </c>
      <c r="E35" s="3" t="s">
        <v>328</v>
      </c>
      <c r="F35" s="2" t="s">
        <v>329</v>
      </c>
      <c r="G35" s="3" t="s">
        <v>24</v>
      </c>
      <c r="H35" s="3">
        <v>114404305</v>
      </c>
      <c r="I35" s="3" t="s">
        <v>330</v>
      </c>
      <c r="J35" s="13">
        <v>46112</v>
      </c>
      <c r="K35" s="14">
        <v>90</v>
      </c>
      <c r="L35" s="13">
        <f>J35+K35</f>
        <v>46202</v>
      </c>
      <c r="M35" s="10">
        <v>46309</v>
      </c>
      <c r="N35" s="18">
        <f>M35-L35</f>
        <v>107</v>
      </c>
      <c r="O35" s="15">
        <v>495000</v>
      </c>
      <c r="P35" s="15">
        <v>495000</v>
      </c>
      <c r="Q35" s="20" t="s">
        <v>476</v>
      </c>
      <c r="R35" s="20" t="s">
        <v>39</v>
      </c>
      <c r="S35" s="19" t="s">
        <v>236</v>
      </c>
      <c r="T35" s="19" t="s">
        <v>92</v>
      </c>
    </row>
    <row r="36" spans="1:20">
      <c r="A36" s="3" t="s">
        <v>181</v>
      </c>
      <c r="B36" s="3" t="s">
        <v>267</v>
      </c>
      <c r="C36" s="3" t="s">
        <v>449</v>
      </c>
      <c r="D36" s="3" t="s">
        <v>450</v>
      </c>
      <c r="E36" s="3" t="s">
        <v>451</v>
      </c>
      <c r="F36" s="2" t="s">
        <v>485</v>
      </c>
      <c r="G36" s="3" t="s">
        <v>24</v>
      </c>
      <c r="H36" s="3">
        <v>9535104354</v>
      </c>
      <c r="I36" s="3" t="s">
        <v>452</v>
      </c>
      <c r="J36" s="13">
        <v>46231</v>
      </c>
      <c r="K36" s="3">
        <v>60</v>
      </c>
      <c r="L36" s="13">
        <f>J36+K36</f>
        <v>46291</v>
      </c>
      <c r="M36" s="10">
        <v>46309</v>
      </c>
      <c r="N36" s="18">
        <f>M36-L36</f>
        <v>18</v>
      </c>
      <c r="O36" s="15">
        <v>315000</v>
      </c>
      <c r="P36" s="15">
        <v>315000</v>
      </c>
      <c r="Q36" s="19" t="s">
        <v>476</v>
      </c>
      <c r="R36" s="19" t="s">
        <v>39</v>
      </c>
      <c r="S36" s="20" t="s">
        <v>236</v>
      </c>
      <c r="T36" s="19" t="s">
        <v>92</v>
      </c>
    </row>
    <row r="37" spans="1:20">
      <c r="A37" s="3" t="s">
        <v>195</v>
      </c>
      <c r="B37" s="3" t="s">
        <v>32</v>
      </c>
      <c r="C37" s="3" t="s">
        <v>462</v>
      </c>
      <c r="D37" s="3" t="s">
        <v>463</v>
      </c>
      <c r="E37" s="3" t="s">
        <v>464</v>
      </c>
      <c r="F37" s="2" t="s">
        <v>477</v>
      </c>
      <c r="G37" s="3" t="s">
        <v>24</v>
      </c>
      <c r="H37" s="3">
        <v>6426802563</v>
      </c>
      <c r="I37" s="3" t="s">
        <v>465</v>
      </c>
      <c r="J37" s="13">
        <v>46234</v>
      </c>
      <c r="K37" s="3">
        <v>60</v>
      </c>
      <c r="L37" s="13">
        <f>J37+K37</f>
        <v>46294</v>
      </c>
      <c r="M37" s="10">
        <v>46309</v>
      </c>
      <c r="N37" s="18">
        <f>M37-L37</f>
        <v>15</v>
      </c>
      <c r="O37" s="15">
        <v>315000</v>
      </c>
      <c r="P37" s="15">
        <v>315000</v>
      </c>
      <c r="Q37" s="19" t="s">
        <v>156</v>
      </c>
      <c r="R37" s="19" t="s">
        <v>156</v>
      </c>
      <c r="S37" s="19" t="s">
        <v>156</v>
      </c>
      <c r="T37" s="19" t="s">
        <v>92</v>
      </c>
    </row>
    <row r="38" spans="1:20">
      <c r="A38" s="3" t="s">
        <v>181</v>
      </c>
      <c r="B38" s="3" t="s">
        <v>182</v>
      </c>
      <c r="C38" s="3" t="s">
        <v>189</v>
      </c>
      <c r="D38" s="3" t="s">
        <v>190</v>
      </c>
      <c r="E38" s="3" t="s">
        <v>256</v>
      </c>
      <c r="F38" s="2" t="s">
        <v>257</v>
      </c>
      <c r="G38" s="3" t="s">
        <v>24</v>
      </c>
      <c r="H38" s="3" t="s">
        <v>258</v>
      </c>
      <c r="I38" s="3" t="s">
        <v>259</v>
      </c>
      <c r="J38" s="13">
        <v>46112</v>
      </c>
      <c r="K38" s="14">
        <v>60</v>
      </c>
      <c r="L38" s="13">
        <f>J38+K38</f>
        <v>46172</v>
      </c>
      <c r="M38" s="10">
        <v>46309</v>
      </c>
      <c r="N38" s="18">
        <f>M38-L38</f>
        <v>137</v>
      </c>
      <c r="O38" s="15">
        <v>475000</v>
      </c>
      <c r="P38" s="15">
        <v>325000</v>
      </c>
      <c r="Q38" s="19" t="s">
        <v>156</v>
      </c>
      <c r="R38" s="19" t="s">
        <v>156</v>
      </c>
      <c r="S38" s="19" t="s">
        <v>236</v>
      </c>
      <c r="T38" s="19" t="s">
        <v>92</v>
      </c>
    </row>
    <row r="39" spans="1:20">
      <c r="A39" s="3" t="s">
        <v>181</v>
      </c>
      <c r="B39" s="3" t="s">
        <v>182</v>
      </c>
      <c r="C39" s="3" t="s">
        <v>189</v>
      </c>
      <c r="D39" s="3" t="s">
        <v>190</v>
      </c>
      <c r="E39" s="3" t="s">
        <v>263</v>
      </c>
      <c r="F39" s="2" t="s">
        <v>264</v>
      </c>
      <c r="G39" s="3" t="s">
        <v>24</v>
      </c>
      <c r="H39" s="3">
        <v>6478802340</v>
      </c>
      <c r="I39" s="3" t="s">
        <v>265</v>
      </c>
      <c r="J39" s="13">
        <v>46112</v>
      </c>
      <c r="K39" s="14">
        <v>60</v>
      </c>
      <c r="L39" s="13">
        <v>46172</v>
      </c>
      <c r="M39" s="10">
        <v>46309</v>
      </c>
      <c r="N39" s="18">
        <f>M39-L39</f>
        <v>137</v>
      </c>
      <c r="O39" s="15">
        <v>550000</v>
      </c>
      <c r="P39" s="15">
        <v>385000</v>
      </c>
      <c r="Q39" s="16" t="s">
        <v>27</v>
      </c>
      <c r="R39" s="16" t="s">
        <v>266</v>
      </c>
      <c r="S39" s="16" t="s">
        <v>29</v>
      </c>
      <c r="T39" s="16" t="s">
        <v>92</v>
      </c>
    </row>
    <row r="40" spans="1:20">
      <c r="A40" s="3" t="s">
        <v>181</v>
      </c>
      <c r="B40" s="3" t="s">
        <v>182</v>
      </c>
      <c r="C40" s="3" t="s">
        <v>189</v>
      </c>
      <c r="D40" s="3" t="s">
        <v>190</v>
      </c>
      <c r="E40" s="3" t="s">
        <v>191</v>
      </c>
      <c r="F40" s="2" t="s">
        <v>192</v>
      </c>
      <c r="G40" s="3" t="s">
        <v>24</v>
      </c>
      <c r="H40" s="3" t="s">
        <v>193</v>
      </c>
      <c r="I40" s="3" t="s">
        <v>194</v>
      </c>
      <c r="J40" s="13">
        <v>46109</v>
      </c>
      <c r="K40" s="14">
        <v>60</v>
      </c>
      <c r="L40" s="13">
        <v>46169</v>
      </c>
      <c r="M40" s="10">
        <v>46309</v>
      </c>
      <c r="N40" s="18">
        <f>M40-L40</f>
        <v>140</v>
      </c>
      <c r="O40" s="15">
        <v>495000</v>
      </c>
      <c r="P40" s="15">
        <v>247500</v>
      </c>
      <c r="Q40" s="16" t="s">
        <v>156</v>
      </c>
      <c r="R40" s="16" t="s">
        <v>156</v>
      </c>
      <c r="S40" s="16" t="s">
        <v>156</v>
      </c>
      <c r="T40" s="16" t="s">
        <v>30</v>
      </c>
    </row>
    <row r="41" spans="1:20">
      <c r="A41" s="3" t="s">
        <v>181</v>
      </c>
      <c r="B41" s="3" t="s">
        <v>182</v>
      </c>
      <c r="C41" s="3" t="s">
        <v>189</v>
      </c>
      <c r="D41" s="3" t="s">
        <v>190</v>
      </c>
      <c r="E41" s="3" t="s">
        <v>222</v>
      </c>
      <c r="F41" s="2" t="s">
        <v>223</v>
      </c>
      <c r="G41" s="3" t="s">
        <v>24</v>
      </c>
      <c r="H41" s="3">
        <v>515701970</v>
      </c>
      <c r="I41" s="3" t="s">
        <v>224</v>
      </c>
      <c r="J41" s="13">
        <v>46111</v>
      </c>
      <c r="K41" s="14">
        <v>60</v>
      </c>
      <c r="L41" s="13">
        <v>46171</v>
      </c>
      <c r="M41" s="10">
        <v>46309</v>
      </c>
      <c r="N41" s="18">
        <f>M41-L41</f>
        <v>138</v>
      </c>
      <c r="O41" s="15">
        <v>550000</v>
      </c>
      <c r="P41" s="15">
        <v>275000</v>
      </c>
      <c r="Q41" s="16" t="s">
        <v>156</v>
      </c>
      <c r="R41" s="16" t="s">
        <v>156</v>
      </c>
      <c r="S41" s="16" t="s">
        <v>156</v>
      </c>
      <c r="T41" s="16" t="s">
        <v>30</v>
      </c>
    </row>
    <row r="42" spans="1:20">
      <c r="A42" s="3" t="s">
        <v>181</v>
      </c>
      <c r="B42" s="3" t="s">
        <v>182</v>
      </c>
      <c r="C42" s="3" t="s">
        <v>189</v>
      </c>
      <c r="D42" s="3" t="s">
        <v>190</v>
      </c>
      <c r="E42" s="3" t="s">
        <v>225</v>
      </c>
      <c r="F42" s="2" t="s">
        <v>226</v>
      </c>
      <c r="G42" s="3" t="s">
        <v>24</v>
      </c>
      <c r="H42" s="3" t="s">
        <v>227</v>
      </c>
      <c r="I42" s="3" t="s">
        <v>228</v>
      </c>
      <c r="J42" s="13">
        <v>46111</v>
      </c>
      <c r="K42" s="14">
        <v>60</v>
      </c>
      <c r="L42" s="13">
        <v>46171</v>
      </c>
      <c r="M42" s="10">
        <v>46309</v>
      </c>
      <c r="N42" s="18">
        <f>M42-L42</f>
        <v>138</v>
      </c>
      <c r="O42" s="15">
        <v>550000</v>
      </c>
      <c r="P42" s="15">
        <v>275000</v>
      </c>
      <c r="Q42" s="16" t="s">
        <v>156</v>
      </c>
      <c r="R42" s="16" t="s">
        <v>156</v>
      </c>
      <c r="S42" s="16" t="s">
        <v>156</v>
      </c>
      <c r="T42" s="16" t="s">
        <v>30</v>
      </c>
    </row>
    <row r="43" spans="1:20">
      <c r="A43" s="3" t="s">
        <v>181</v>
      </c>
      <c r="B43" s="3" t="s">
        <v>182</v>
      </c>
      <c r="C43" s="3" t="s">
        <v>189</v>
      </c>
      <c r="D43" s="3" t="s">
        <v>190</v>
      </c>
      <c r="E43" s="3" t="s">
        <v>260</v>
      </c>
      <c r="F43" s="2" t="s">
        <v>490</v>
      </c>
      <c r="G43" s="3" t="s">
        <v>24</v>
      </c>
      <c r="H43" s="3" t="s">
        <v>261</v>
      </c>
      <c r="I43" s="3" t="s">
        <v>262</v>
      </c>
      <c r="J43" s="13">
        <v>46112</v>
      </c>
      <c r="K43" s="14">
        <v>60</v>
      </c>
      <c r="L43" s="13">
        <f>J43+K43</f>
        <v>46172</v>
      </c>
      <c r="M43" s="10">
        <v>46309</v>
      </c>
      <c r="N43" s="18">
        <f>M43-L43</f>
        <v>137</v>
      </c>
      <c r="O43" s="15">
        <v>475000</v>
      </c>
      <c r="P43" s="15">
        <v>375000</v>
      </c>
      <c r="Q43" s="19" t="s">
        <v>156</v>
      </c>
      <c r="R43" s="19" t="s">
        <v>156</v>
      </c>
      <c r="S43" s="19" t="s">
        <v>29</v>
      </c>
      <c r="T43" s="19" t="s">
        <v>92</v>
      </c>
    </row>
    <row r="44" spans="1:20">
      <c r="A44" s="3" t="s">
        <v>200</v>
      </c>
      <c r="B44" s="3" t="s">
        <v>201</v>
      </c>
      <c r="C44" s="3" t="s">
        <v>251</v>
      </c>
      <c r="D44" s="3" t="s">
        <v>252</v>
      </c>
      <c r="E44" s="3" t="s">
        <v>253</v>
      </c>
      <c r="F44" s="2" t="s">
        <v>254</v>
      </c>
      <c r="G44" s="3" t="s">
        <v>24</v>
      </c>
      <c r="H44" s="3">
        <v>679004406</v>
      </c>
      <c r="I44" s="3" t="s">
        <v>255</v>
      </c>
      <c r="J44" s="13">
        <v>46112</v>
      </c>
      <c r="K44" s="14">
        <v>60</v>
      </c>
      <c r="L44" s="13">
        <f>J44+K44</f>
        <v>46172</v>
      </c>
      <c r="M44" s="10">
        <v>46309</v>
      </c>
      <c r="N44" s="18">
        <f>M44-L44</f>
        <v>137</v>
      </c>
      <c r="O44" s="15">
        <v>475000</v>
      </c>
      <c r="P44" s="15">
        <v>475000</v>
      </c>
      <c r="Q44" s="19" t="s">
        <v>156</v>
      </c>
      <c r="R44" s="19" t="s">
        <v>156</v>
      </c>
      <c r="S44" s="19" t="s">
        <v>156</v>
      </c>
      <c r="T44" s="19" t="s">
        <v>92</v>
      </c>
    </row>
    <row r="45" spans="1:20">
      <c r="A45" s="3" t="s">
        <v>181</v>
      </c>
      <c r="B45" s="3" t="s">
        <v>267</v>
      </c>
      <c r="C45" s="3" t="s">
        <v>268</v>
      </c>
      <c r="D45" s="3" t="s">
        <v>269</v>
      </c>
      <c r="E45" s="3" t="s">
        <v>270</v>
      </c>
      <c r="F45" s="2" t="s">
        <v>271</v>
      </c>
      <c r="G45" s="3" t="s">
        <v>24</v>
      </c>
      <c r="H45" s="3" t="s">
        <v>272</v>
      </c>
      <c r="I45" s="3" t="s">
        <v>273</v>
      </c>
      <c r="J45" s="13">
        <v>46112</v>
      </c>
      <c r="K45" s="14">
        <v>60</v>
      </c>
      <c r="L45" s="13">
        <v>46172</v>
      </c>
      <c r="M45" s="10">
        <v>46309</v>
      </c>
      <c r="N45" s="18">
        <f>M45-L45</f>
        <v>137</v>
      </c>
      <c r="O45" s="15">
        <v>475000</v>
      </c>
      <c r="P45" s="15">
        <v>475000</v>
      </c>
      <c r="Q45" s="16" t="s">
        <v>156</v>
      </c>
      <c r="R45" s="16" t="s">
        <v>156</v>
      </c>
      <c r="S45" s="16" t="s">
        <v>156</v>
      </c>
      <c r="T45" s="16" t="s">
        <v>30</v>
      </c>
    </row>
    <row r="46" spans="1:20">
      <c r="A46" s="3" t="s">
        <v>162</v>
      </c>
      <c r="B46" s="3" t="s">
        <v>163</v>
      </c>
      <c r="C46" s="3" t="s">
        <v>164</v>
      </c>
      <c r="D46" s="3" t="s">
        <v>165</v>
      </c>
      <c r="E46" s="3" t="s">
        <v>166</v>
      </c>
      <c r="F46" s="2" t="s">
        <v>167</v>
      </c>
      <c r="G46" s="3" t="s">
        <v>24</v>
      </c>
      <c r="H46" s="3" t="s">
        <v>168</v>
      </c>
      <c r="I46" s="3" t="s">
        <v>169</v>
      </c>
      <c r="J46" s="13">
        <v>46108</v>
      </c>
      <c r="K46" s="14">
        <v>45</v>
      </c>
      <c r="L46" s="13">
        <v>46153</v>
      </c>
      <c r="M46" s="10">
        <v>46309</v>
      </c>
      <c r="N46" s="18">
        <f>M46-L46</f>
        <v>156</v>
      </c>
      <c r="O46" s="15">
        <v>495000</v>
      </c>
      <c r="P46" s="15">
        <v>495000</v>
      </c>
      <c r="Q46" s="16" t="s">
        <v>156</v>
      </c>
      <c r="R46" s="16" t="s">
        <v>156</v>
      </c>
      <c r="S46" s="16" t="s">
        <v>156</v>
      </c>
      <c r="T46" s="16" t="s">
        <v>30</v>
      </c>
    </row>
    <row r="47" spans="1:20">
      <c r="A47" s="3" t="s">
        <v>157</v>
      </c>
      <c r="B47" s="3" t="s">
        <v>19</v>
      </c>
      <c r="C47" s="3" t="s">
        <v>20</v>
      </c>
      <c r="D47" s="3" t="s">
        <v>21</v>
      </c>
      <c r="E47" s="3" t="s">
        <v>302</v>
      </c>
      <c r="F47" s="2" t="s">
        <v>303</v>
      </c>
      <c r="G47" s="3" t="s">
        <v>24</v>
      </c>
      <c r="H47" s="3">
        <v>6801200161</v>
      </c>
      <c r="I47" s="3" t="s">
        <v>304</v>
      </c>
      <c r="J47" s="13">
        <v>46100</v>
      </c>
      <c r="K47" s="14">
        <v>90</v>
      </c>
      <c r="L47" s="13">
        <v>46190</v>
      </c>
      <c r="M47" s="10">
        <v>46309</v>
      </c>
      <c r="N47" s="18">
        <f>M47-L47</f>
        <v>119</v>
      </c>
      <c r="O47" s="15">
        <v>550000</v>
      </c>
      <c r="P47" s="15">
        <v>300000</v>
      </c>
      <c r="Q47" s="16" t="s">
        <v>156</v>
      </c>
      <c r="R47" s="16" t="s">
        <v>156</v>
      </c>
      <c r="S47" s="16" t="s">
        <v>156</v>
      </c>
      <c r="T47" s="16" t="s">
        <v>30</v>
      </c>
    </row>
    <row r="48" spans="1:20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24</v>
      </c>
      <c r="H48" s="2" t="s">
        <v>25</v>
      </c>
      <c r="I48" s="2" t="s">
        <v>26</v>
      </c>
      <c r="J48" s="8">
        <v>46100</v>
      </c>
      <c r="K48" s="9">
        <v>90</v>
      </c>
      <c r="L48" s="8">
        <v>46190</v>
      </c>
      <c r="M48" s="10">
        <v>46309</v>
      </c>
      <c r="N48" s="18">
        <f>M48-L48</f>
        <v>119</v>
      </c>
      <c r="O48" s="11">
        <v>550000</v>
      </c>
      <c r="P48" s="11">
        <v>275000</v>
      </c>
      <c r="Q48" s="16" t="s">
        <v>27</v>
      </c>
      <c r="R48" s="2" t="s">
        <v>28</v>
      </c>
      <c r="S48" s="16" t="s">
        <v>29</v>
      </c>
      <c r="T48" s="16" t="s">
        <v>30</v>
      </c>
    </row>
    <row r="49" spans="1:20">
      <c r="A49" s="3" t="s">
        <v>157</v>
      </c>
      <c r="B49" s="3" t="s">
        <v>19</v>
      </c>
      <c r="C49" s="3" t="s">
        <v>20</v>
      </c>
      <c r="D49" s="3" t="s">
        <v>21</v>
      </c>
      <c r="E49" s="3" t="s">
        <v>298</v>
      </c>
      <c r="F49" s="2" t="s">
        <v>299</v>
      </c>
      <c r="G49" s="3" t="s">
        <v>24</v>
      </c>
      <c r="H49" s="3" t="s">
        <v>300</v>
      </c>
      <c r="I49" s="3" t="s">
        <v>301</v>
      </c>
      <c r="J49" s="13">
        <v>46099</v>
      </c>
      <c r="K49" s="14">
        <v>90</v>
      </c>
      <c r="L49" s="13">
        <v>46189</v>
      </c>
      <c r="M49" s="10">
        <v>46309</v>
      </c>
      <c r="N49" s="18">
        <f>M49-L49</f>
        <v>120</v>
      </c>
      <c r="O49" s="15">
        <v>495000</v>
      </c>
      <c r="P49" s="15">
        <v>245000</v>
      </c>
      <c r="Q49" s="16" t="s">
        <v>27</v>
      </c>
      <c r="R49" s="16" t="s">
        <v>156</v>
      </c>
      <c r="S49" s="16" t="s">
        <v>29</v>
      </c>
      <c r="T49" s="16" t="s">
        <v>30</v>
      </c>
    </row>
    <row r="50" spans="1:20">
      <c r="A50" s="2" t="s">
        <v>18</v>
      </c>
      <c r="B50" s="2" t="s">
        <v>19</v>
      </c>
      <c r="C50" s="2" t="s">
        <v>20</v>
      </c>
      <c r="D50" s="2" t="s">
        <v>21</v>
      </c>
      <c r="E50" s="2" t="s">
        <v>41</v>
      </c>
      <c r="F50" s="2" t="s">
        <v>42</v>
      </c>
      <c r="G50" s="2" t="s">
        <v>24</v>
      </c>
      <c r="H50" s="2" t="s">
        <v>43</v>
      </c>
      <c r="I50" s="2" t="s">
        <v>44</v>
      </c>
      <c r="J50" s="8">
        <v>46111</v>
      </c>
      <c r="K50" s="9">
        <v>90</v>
      </c>
      <c r="L50" s="8">
        <v>46201</v>
      </c>
      <c r="M50" s="10">
        <v>46309</v>
      </c>
      <c r="N50" s="18">
        <f>M50-L50</f>
        <v>108</v>
      </c>
      <c r="O50" s="12">
        <v>475000</v>
      </c>
      <c r="P50" s="12">
        <v>237500</v>
      </c>
      <c r="Q50" s="16" t="s">
        <v>27</v>
      </c>
      <c r="R50" s="2" t="s">
        <v>28</v>
      </c>
      <c r="S50" s="16" t="s">
        <v>29</v>
      </c>
      <c r="T50" s="16" t="s">
        <v>30</v>
      </c>
    </row>
    <row r="51" spans="1:20">
      <c r="A51" s="3" t="s">
        <v>157</v>
      </c>
      <c r="B51" s="3" t="s">
        <v>19</v>
      </c>
      <c r="C51" s="3" t="s">
        <v>20</v>
      </c>
      <c r="D51" s="3" t="s">
        <v>21</v>
      </c>
      <c r="E51" s="3" t="s">
        <v>365</v>
      </c>
      <c r="F51" s="2" t="s">
        <v>366</v>
      </c>
      <c r="G51" s="3" t="s">
        <v>24</v>
      </c>
      <c r="H51" s="3">
        <v>162600148</v>
      </c>
      <c r="I51" s="3" t="s">
        <v>367</v>
      </c>
      <c r="J51" s="13">
        <v>46112</v>
      </c>
      <c r="K51" s="14">
        <v>90</v>
      </c>
      <c r="L51" s="13">
        <v>46202</v>
      </c>
      <c r="M51" s="10">
        <v>46309</v>
      </c>
      <c r="N51" s="18">
        <f>M51-L51</f>
        <v>107</v>
      </c>
      <c r="O51" s="15">
        <v>550000</v>
      </c>
      <c r="P51" s="15">
        <v>200000</v>
      </c>
      <c r="Q51" s="16" t="s">
        <v>476</v>
      </c>
      <c r="R51" s="16" t="s">
        <v>39</v>
      </c>
      <c r="S51" s="16" t="s">
        <v>40</v>
      </c>
      <c r="T51" s="16" t="s">
        <v>30</v>
      </c>
    </row>
    <row r="52" spans="1:20">
      <c r="A52" s="3" t="s">
        <v>157</v>
      </c>
      <c r="B52" s="3" t="s">
        <v>19</v>
      </c>
      <c r="C52" s="3" t="s">
        <v>20</v>
      </c>
      <c r="D52" s="3" t="s">
        <v>21</v>
      </c>
      <c r="E52" s="3" t="s">
        <v>362</v>
      </c>
      <c r="F52" s="2" t="s">
        <v>363</v>
      </c>
      <c r="G52" s="3" t="s">
        <v>24</v>
      </c>
      <c r="H52" s="3">
        <v>8915001242</v>
      </c>
      <c r="I52" s="3" t="s">
        <v>364</v>
      </c>
      <c r="J52" s="13">
        <v>46112</v>
      </c>
      <c r="K52" s="14">
        <v>90</v>
      </c>
      <c r="L52" s="13">
        <v>46202</v>
      </c>
      <c r="M52" s="10">
        <v>46309</v>
      </c>
      <c r="N52" s="18">
        <f>M52-L52</f>
        <v>107</v>
      </c>
      <c r="O52" s="15">
        <v>550000</v>
      </c>
      <c r="P52" s="15">
        <v>235000</v>
      </c>
      <c r="Q52" s="16" t="s">
        <v>156</v>
      </c>
      <c r="R52" s="16" t="s">
        <v>156</v>
      </c>
      <c r="S52" s="16" t="s">
        <v>156</v>
      </c>
      <c r="T52" s="16" t="s">
        <v>30</v>
      </c>
    </row>
    <row r="53" spans="1:20">
      <c r="A53" s="2" t="s">
        <v>18</v>
      </c>
      <c r="B53" s="2" t="s">
        <v>19</v>
      </c>
      <c r="C53" s="2" t="s">
        <v>20</v>
      </c>
      <c r="D53" s="2" t="s">
        <v>21</v>
      </c>
      <c r="E53" s="2" t="s">
        <v>102</v>
      </c>
      <c r="F53" s="2" t="s">
        <v>103</v>
      </c>
      <c r="G53" s="2" t="s">
        <v>24</v>
      </c>
      <c r="H53" s="2" t="s">
        <v>104</v>
      </c>
      <c r="I53" s="2" t="s">
        <v>105</v>
      </c>
      <c r="J53" s="8">
        <v>46142</v>
      </c>
      <c r="K53" s="2">
        <v>90</v>
      </c>
      <c r="L53" s="8">
        <v>46232</v>
      </c>
      <c r="M53" s="10">
        <v>46309</v>
      </c>
      <c r="N53" s="18">
        <f>M53-L53</f>
        <v>77</v>
      </c>
      <c r="O53" s="11">
        <v>495000</v>
      </c>
      <c r="P53" s="11">
        <v>195000</v>
      </c>
      <c r="Q53" s="16" t="s">
        <v>27</v>
      </c>
      <c r="R53" s="2" t="s">
        <v>28</v>
      </c>
      <c r="S53" s="16" t="s">
        <v>29</v>
      </c>
      <c r="T53" s="17" t="s">
        <v>30</v>
      </c>
    </row>
    <row r="54" spans="1:20">
      <c r="A54" s="2" t="s">
        <v>18</v>
      </c>
      <c r="B54" s="2" t="s">
        <v>19</v>
      </c>
      <c r="C54" s="2" t="s">
        <v>20</v>
      </c>
      <c r="D54" s="2" t="s">
        <v>21</v>
      </c>
      <c r="E54" s="2" t="s">
        <v>106</v>
      </c>
      <c r="F54" s="2" t="s">
        <v>107</v>
      </c>
      <c r="G54" s="2" t="s">
        <v>24</v>
      </c>
      <c r="H54" s="2" t="s">
        <v>108</v>
      </c>
      <c r="I54" s="2" t="s">
        <v>109</v>
      </c>
      <c r="J54" s="8">
        <v>46142</v>
      </c>
      <c r="K54" s="2">
        <v>90</v>
      </c>
      <c r="L54" s="8">
        <v>46232</v>
      </c>
      <c r="M54" s="10">
        <v>46309</v>
      </c>
      <c r="N54" s="18">
        <f>M54-L54</f>
        <v>77</v>
      </c>
      <c r="O54" s="11">
        <v>495000</v>
      </c>
      <c r="P54" s="11">
        <v>245000</v>
      </c>
      <c r="Q54" s="16" t="s">
        <v>27</v>
      </c>
      <c r="R54" s="2" t="s">
        <v>28</v>
      </c>
      <c r="S54" s="16" t="s">
        <v>29</v>
      </c>
      <c r="T54" s="16" t="s">
        <v>30</v>
      </c>
    </row>
    <row r="55" spans="1:20">
      <c r="A55" s="2" t="s">
        <v>18</v>
      </c>
      <c r="B55" s="2" t="s">
        <v>19</v>
      </c>
      <c r="C55" s="2" t="s">
        <v>20</v>
      </c>
      <c r="D55" s="2" t="s">
        <v>21</v>
      </c>
      <c r="E55" s="2" t="s">
        <v>110</v>
      </c>
      <c r="F55" s="2" t="s">
        <v>111</v>
      </c>
      <c r="G55" s="2" t="s">
        <v>24</v>
      </c>
      <c r="H55" s="2">
        <v>8159104210</v>
      </c>
      <c r="I55" s="2" t="s">
        <v>112</v>
      </c>
      <c r="J55" s="8">
        <v>46142</v>
      </c>
      <c r="K55" s="2">
        <v>90</v>
      </c>
      <c r="L55" s="8">
        <v>46232</v>
      </c>
      <c r="M55" s="10">
        <v>46309</v>
      </c>
      <c r="N55" s="18">
        <f>M55-L55</f>
        <v>77</v>
      </c>
      <c r="O55" s="11">
        <v>495000</v>
      </c>
      <c r="P55" s="11">
        <v>247500</v>
      </c>
      <c r="Q55" s="16" t="s">
        <v>27</v>
      </c>
      <c r="R55" s="2" t="s">
        <v>28</v>
      </c>
      <c r="S55" s="16" t="s">
        <v>29</v>
      </c>
      <c r="T55" s="16" t="s">
        <v>30</v>
      </c>
    </row>
    <row r="56" spans="1:20">
      <c r="A56" s="2" t="s">
        <v>18</v>
      </c>
      <c r="B56" s="2" t="s">
        <v>19</v>
      </c>
      <c r="C56" s="2" t="s">
        <v>20</v>
      </c>
      <c r="D56" s="2" t="s">
        <v>21</v>
      </c>
      <c r="E56" s="2" t="s">
        <v>113</v>
      </c>
      <c r="F56" s="2" t="s">
        <v>114</v>
      </c>
      <c r="G56" s="2" t="s">
        <v>24</v>
      </c>
      <c r="H56" s="2" t="s">
        <v>115</v>
      </c>
      <c r="I56" s="2" t="s">
        <v>116</v>
      </c>
      <c r="J56" s="8">
        <v>46142</v>
      </c>
      <c r="K56" s="2">
        <v>90</v>
      </c>
      <c r="L56" s="8">
        <v>46232</v>
      </c>
      <c r="M56" s="10">
        <v>46309</v>
      </c>
      <c r="N56" s="18">
        <f>M56-L56</f>
        <v>77</v>
      </c>
      <c r="O56" s="11">
        <v>495000</v>
      </c>
      <c r="P56" s="11">
        <v>195000</v>
      </c>
      <c r="Q56" s="16" t="s">
        <v>27</v>
      </c>
      <c r="R56" s="2" t="s">
        <v>28</v>
      </c>
      <c r="S56" s="16" t="s">
        <v>29</v>
      </c>
      <c r="T56" s="16" t="s">
        <v>30</v>
      </c>
    </row>
    <row r="57" spans="1:20">
      <c r="A57" s="3" t="s">
        <v>157</v>
      </c>
      <c r="B57" s="3" t="s">
        <v>19</v>
      </c>
      <c r="C57" s="3" t="s">
        <v>20</v>
      </c>
      <c r="D57" s="3" t="s">
        <v>21</v>
      </c>
      <c r="E57" s="3" t="s">
        <v>421</v>
      </c>
      <c r="F57" s="2" t="s">
        <v>422</v>
      </c>
      <c r="G57" s="3" t="s">
        <v>24</v>
      </c>
      <c r="H57" s="3" t="s">
        <v>423</v>
      </c>
      <c r="I57" s="3" t="s">
        <v>424</v>
      </c>
      <c r="J57" s="13">
        <v>46173</v>
      </c>
      <c r="K57" s="3">
        <v>90</v>
      </c>
      <c r="L57" s="13">
        <v>46263</v>
      </c>
      <c r="M57" s="10">
        <v>46309</v>
      </c>
      <c r="N57" s="18">
        <f>M57-L57</f>
        <v>46</v>
      </c>
      <c r="O57" s="15">
        <v>495000</v>
      </c>
      <c r="P57" s="15">
        <v>245000</v>
      </c>
      <c r="Q57" s="16" t="s">
        <v>27</v>
      </c>
      <c r="R57" s="16" t="s">
        <v>28</v>
      </c>
      <c r="S57" s="16" t="s">
        <v>29</v>
      </c>
      <c r="T57" s="16" t="s">
        <v>92</v>
      </c>
    </row>
    <row r="58" spans="1:20">
      <c r="A58" s="3" t="s">
        <v>157</v>
      </c>
      <c r="B58" s="3" t="s">
        <v>19</v>
      </c>
      <c r="C58" s="3" t="s">
        <v>20</v>
      </c>
      <c r="D58" s="3" t="s">
        <v>21</v>
      </c>
      <c r="E58" s="3" t="s">
        <v>413</v>
      </c>
      <c r="F58" s="2" t="s">
        <v>414</v>
      </c>
      <c r="G58" s="3" t="s">
        <v>24</v>
      </c>
      <c r="H58" s="3" t="s">
        <v>415</v>
      </c>
      <c r="I58" s="3" t="s">
        <v>416</v>
      </c>
      <c r="J58" s="13">
        <v>46173</v>
      </c>
      <c r="K58" s="3">
        <v>90</v>
      </c>
      <c r="L58" s="13">
        <v>46263</v>
      </c>
      <c r="M58" s="10">
        <v>46309</v>
      </c>
      <c r="N58" s="18">
        <f>M58-L58</f>
        <v>46</v>
      </c>
      <c r="O58" s="15">
        <v>475000</v>
      </c>
      <c r="P58" s="15">
        <v>237500</v>
      </c>
      <c r="Q58" s="16" t="s">
        <v>27</v>
      </c>
      <c r="R58" s="16" t="s">
        <v>28</v>
      </c>
      <c r="S58" s="16" t="s">
        <v>29</v>
      </c>
      <c r="T58" s="16" t="s">
        <v>30</v>
      </c>
    </row>
    <row r="59" spans="1:20">
      <c r="A59" s="3" t="s">
        <v>157</v>
      </c>
      <c r="B59" s="3" t="s">
        <v>19</v>
      </c>
      <c r="C59" s="3" t="s">
        <v>20</v>
      </c>
      <c r="D59" s="3" t="s">
        <v>21</v>
      </c>
      <c r="E59" s="3" t="s">
        <v>417</v>
      </c>
      <c r="F59" s="2" t="s">
        <v>418</v>
      </c>
      <c r="G59" s="3" t="s">
        <v>24</v>
      </c>
      <c r="H59" s="3" t="s">
        <v>419</v>
      </c>
      <c r="I59" s="3" t="s">
        <v>420</v>
      </c>
      <c r="J59" s="13">
        <v>46173</v>
      </c>
      <c r="K59" s="3">
        <v>90</v>
      </c>
      <c r="L59" s="13">
        <v>46263</v>
      </c>
      <c r="M59" s="10">
        <v>46309</v>
      </c>
      <c r="N59" s="18">
        <f>M59-L59</f>
        <v>46</v>
      </c>
      <c r="O59" s="15">
        <v>495000</v>
      </c>
      <c r="P59" s="15">
        <v>247500</v>
      </c>
      <c r="Q59" s="16" t="s">
        <v>27</v>
      </c>
      <c r="R59" s="16" t="s">
        <v>28</v>
      </c>
      <c r="S59" s="16" t="s">
        <v>29</v>
      </c>
      <c r="T59" s="16" t="s">
        <v>92</v>
      </c>
    </row>
    <row r="60" spans="1:20">
      <c r="A60" s="3" t="s">
        <v>157</v>
      </c>
      <c r="B60" s="3" t="s">
        <v>19</v>
      </c>
      <c r="C60" s="3" t="s">
        <v>20</v>
      </c>
      <c r="D60" s="3" t="s">
        <v>21</v>
      </c>
      <c r="E60" s="3" t="s">
        <v>429</v>
      </c>
      <c r="F60" s="2" t="s">
        <v>430</v>
      </c>
      <c r="G60" s="3" t="s">
        <v>24</v>
      </c>
      <c r="H60" s="3" t="s">
        <v>431</v>
      </c>
      <c r="I60" s="3" t="s">
        <v>432</v>
      </c>
      <c r="J60" s="13">
        <v>46173</v>
      </c>
      <c r="K60" s="3">
        <v>90</v>
      </c>
      <c r="L60" s="13">
        <v>46263</v>
      </c>
      <c r="M60" s="10">
        <v>46309</v>
      </c>
      <c r="N60" s="18">
        <f>M60-L60</f>
        <v>46</v>
      </c>
      <c r="O60" s="15">
        <v>550000</v>
      </c>
      <c r="P60" s="15">
        <v>230000</v>
      </c>
      <c r="Q60" s="16" t="s">
        <v>27</v>
      </c>
      <c r="R60" s="16" t="s">
        <v>28</v>
      </c>
      <c r="S60" s="16" t="s">
        <v>29</v>
      </c>
      <c r="T60" s="16" t="s">
        <v>92</v>
      </c>
    </row>
    <row r="61" spans="1:20">
      <c r="A61" s="3" t="s">
        <v>157</v>
      </c>
      <c r="B61" s="3" t="s">
        <v>19</v>
      </c>
      <c r="C61" s="3" t="s">
        <v>20</v>
      </c>
      <c r="D61" s="3" t="s">
        <v>21</v>
      </c>
      <c r="E61" s="3" t="s">
        <v>409</v>
      </c>
      <c r="F61" s="2" t="s">
        <v>410</v>
      </c>
      <c r="G61" s="3" t="s">
        <v>24</v>
      </c>
      <c r="H61" s="3" t="s">
        <v>411</v>
      </c>
      <c r="I61" s="3" t="s">
        <v>412</v>
      </c>
      <c r="J61" s="13">
        <v>46173</v>
      </c>
      <c r="K61" s="3">
        <v>90</v>
      </c>
      <c r="L61" s="13">
        <v>46263</v>
      </c>
      <c r="M61" s="10">
        <v>46309</v>
      </c>
      <c r="N61" s="18">
        <f>M61-L61</f>
        <v>46</v>
      </c>
      <c r="O61" s="15">
        <v>475000</v>
      </c>
      <c r="P61" s="15">
        <v>125000</v>
      </c>
      <c r="Q61" s="16" t="s">
        <v>27</v>
      </c>
      <c r="R61" s="16" t="s">
        <v>28</v>
      </c>
      <c r="S61" s="16" t="s">
        <v>29</v>
      </c>
      <c r="T61" s="16" t="s">
        <v>92</v>
      </c>
    </row>
    <row r="62" spans="1:20">
      <c r="A62" s="3" t="s">
        <v>157</v>
      </c>
      <c r="B62" s="3" t="s">
        <v>19</v>
      </c>
      <c r="C62" s="3" t="s">
        <v>20</v>
      </c>
      <c r="D62" s="3" t="s">
        <v>21</v>
      </c>
      <c r="E62" s="3" t="s">
        <v>425</v>
      </c>
      <c r="F62" s="2" t="s">
        <v>426</v>
      </c>
      <c r="G62" s="3" t="s">
        <v>24</v>
      </c>
      <c r="H62" s="3" t="s">
        <v>427</v>
      </c>
      <c r="I62" s="3" t="s">
        <v>428</v>
      </c>
      <c r="J62" s="13">
        <v>46173</v>
      </c>
      <c r="K62" s="3">
        <v>90</v>
      </c>
      <c r="L62" s="13">
        <v>46263</v>
      </c>
      <c r="M62" s="10">
        <v>46309</v>
      </c>
      <c r="N62" s="18">
        <f>M62-L62</f>
        <v>46</v>
      </c>
      <c r="O62" s="15">
        <v>495000</v>
      </c>
      <c r="P62" s="15">
        <v>205000</v>
      </c>
      <c r="Q62" s="16" t="s">
        <v>156</v>
      </c>
      <c r="R62" s="16" t="s">
        <v>156</v>
      </c>
      <c r="S62" s="16" t="s">
        <v>156</v>
      </c>
      <c r="T62" s="16" t="s">
        <v>30</v>
      </c>
    </row>
    <row r="63" spans="1:20">
      <c r="A63" s="3" t="s">
        <v>157</v>
      </c>
      <c r="B63" s="3" t="s">
        <v>19</v>
      </c>
      <c r="C63" s="3" t="s">
        <v>20</v>
      </c>
      <c r="D63" s="3" t="s">
        <v>21</v>
      </c>
      <c r="E63" s="3" t="s">
        <v>399</v>
      </c>
      <c r="F63" s="2" t="s">
        <v>400</v>
      </c>
      <c r="G63" s="3" t="s">
        <v>24</v>
      </c>
      <c r="H63" s="3">
        <v>203402736</v>
      </c>
      <c r="I63" s="3" t="s">
        <v>401</v>
      </c>
      <c r="J63" s="13">
        <v>46197</v>
      </c>
      <c r="K63" s="3">
        <v>60</v>
      </c>
      <c r="L63" s="13">
        <v>46257</v>
      </c>
      <c r="M63" s="10">
        <v>46309</v>
      </c>
      <c r="N63" s="18">
        <f>M63-L63</f>
        <v>52</v>
      </c>
      <c r="O63" s="15">
        <v>550000</v>
      </c>
      <c r="P63" s="15">
        <v>220000</v>
      </c>
      <c r="Q63" s="16" t="s">
        <v>27</v>
      </c>
      <c r="R63" s="16" t="s">
        <v>28</v>
      </c>
      <c r="S63" s="16" t="s">
        <v>29</v>
      </c>
      <c r="T63" s="16" t="s">
        <v>92</v>
      </c>
    </row>
    <row r="64" spans="1:20">
      <c r="A64" s="3" t="s">
        <v>157</v>
      </c>
      <c r="B64" s="3" t="s">
        <v>19</v>
      </c>
      <c r="C64" s="3" t="s">
        <v>20</v>
      </c>
      <c r="D64" s="3" t="s">
        <v>21</v>
      </c>
      <c r="E64" s="3" t="s">
        <v>395</v>
      </c>
      <c r="F64" s="2" t="s">
        <v>396</v>
      </c>
      <c r="G64" s="3" t="s">
        <v>24</v>
      </c>
      <c r="H64" s="3" t="s">
        <v>397</v>
      </c>
      <c r="I64" s="3" t="s">
        <v>398</v>
      </c>
      <c r="J64" s="13">
        <v>46196</v>
      </c>
      <c r="K64" s="3">
        <v>60</v>
      </c>
      <c r="L64" s="13">
        <v>46256</v>
      </c>
      <c r="M64" s="10">
        <v>46309</v>
      </c>
      <c r="N64" s="18">
        <f>M64-L64</f>
        <v>53</v>
      </c>
      <c r="O64" s="15">
        <v>550000</v>
      </c>
      <c r="P64" s="15">
        <v>220000</v>
      </c>
      <c r="Q64" s="16" t="s">
        <v>27</v>
      </c>
      <c r="R64" s="16" t="s">
        <v>28</v>
      </c>
      <c r="S64" s="16" t="s">
        <v>29</v>
      </c>
      <c r="T64" s="16" t="s">
        <v>92</v>
      </c>
    </row>
    <row r="65" spans="1:20">
      <c r="A65" s="3" t="s">
        <v>157</v>
      </c>
      <c r="B65" s="3" t="s">
        <v>19</v>
      </c>
      <c r="C65" s="3" t="s">
        <v>20</v>
      </c>
      <c r="D65" s="3" t="s">
        <v>21</v>
      </c>
      <c r="E65" s="3" t="s">
        <v>391</v>
      </c>
      <c r="F65" s="2" t="s">
        <v>392</v>
      </c>
      <c r="G65" s="3" t="s">
        <v>24</v>
      </c>
      <c r="H65" s="3" t="s">
        <v>393</v>
      </c>
      <c r="I65" s="3" t="s">
        <v>394</v>
      </c>
      <c r="J65" s="13">
        <v>46196</v>
      </c>
      <c r="K65" s="3">
        <v>60</v>
      </c>
      <c r="L65" s="13">
        <v>46256</v>
      </c>
      <c r="M65" s="10">
        <v>46309</v>
      </c>
      <c r="N65" s="18">
        <f>M65-L65</f>
        <v>53</v>
      </c>
      <c r="O65" s="15">
        <v>475000</v>
      </c>
      <c r="P65" s="15">
        <v>475000</v>
      </c>
      <c r="Q65" s="16" t="s">
        <v>27</v>
      </c>
      <c r="R65" s="16" t="s">
        <v>28</v>
      </c>
      <c r="S65" s="16" t="s">
        <v>29</v>
      </c>
      <c r="T65" s="16" t="s">
        <v>92</v>
      </c>
    </row>
    <row r="66" spans="1:20">
      <c r="A66" s="3" t="s">
        <v>157</v>
      </c>
      <c r="B66" s="3" t="s">
        <v>19</v>
      </c>
      <c r="C66" s="3" t="s">
        <v>20</v>
      </c>
      <c r="D66" s="3" t="s">
        <v>21</v>
      </c>
      <c r="E66" s="3" t="s">
        <v>433</v>
      </c>
      <c r="F66" s="2" t="s">
        <v>434</v>
      </c>
      <c r="G66" s="3" t="s">
        <v>24</v>
      </c>
      <c r="H66" s="3" t="s">
        <v>435</v>
      </c>
      <c r="I66" s="3" t="s">
        <v>436</v>
      </c>
      <c r="J66" s="13">
        <v>46203</v>
      </c>
      <c r="K66" s="3">
        <v>60</v>
      </c>
      <c r="L66" s="13">
        <v>46263</v>
      </c>
      <c r="M66" s="10">
        <v>46309</v>
      </c>
      <c r="N66" s="18">
        <f>M66-L66</f>
        <v>46</v>
      </c>
      <c r="O66" s="15">
        <v>475000</v>
      </c>
      <c r="P66" s="15">
        <v>190000</v>
      </c>
      <c r="Q66" s="16" t="s">
        <v>27</v>
      </c>
      <c r="R66" s="16" t="s">
        <v>28</v>
      </c>
      <c r="S66" s="16" t="s">
        <v>29</v>
      </c>
      <c r="T66" s="16" t="s">
        <v>92</v>
      </c>
    </row>
    <row r="67" spans="1:20">
      <c r="A67" s="3" t="s">
        <v>157</v>
      </c>
      <c r="B67" s="3" t="s">
        <v>19</v>
      </c>
      <c r="C67" s="3" t="s">
        <v>20</v>
      </c>
      <c r="D67" s="3" t="s">
        <v>21</v>
      </c>
      <c r="E67" s="3" t="s">
        <v>469</v>
      </c>
      <c r="F67" s="2" t="s">
        <v>484</v>
      </c>
      <c r="G67" s="3" t="s">
        <v>24</v>
      </c>
      <c r="H67" s="3" t="s">
        <v>470</v>
      </c>
      <c r="I67" s="3" t="s">
        <v>471</v>
      </c>
      <c r="J67" s="13">
        <v>46232</v>
      </c>
      <c r="K67" s="3">
        <v>60</v>
      </c>
      <c r="L67" s="13">
        <f>J67+K67</f>
        <v>46292</v>
      </c>
      <c r="M67" s="10">
        <v>46309</v>
      </c>
      <c r="N67" s="18">
        <f>M67-L67</f>
        <v>17</v>
      </c>
      <c r="O67" s="15">
        <v>550000</v>
      </c>
      <c r="P67" s="15">
        <v>220000</v>
      </c>
      <c r="Q67" s="19" t="s">
        <v>156</v>
      </c>
      <c r="R67" s="19" t="s">
        <v>156</v>
      </c>
      <c r="S67" s="19" t="s">
        <v>29</v>
      </c>
      <c r="T67" s="19" t="s">
        <v>92</v>
      </c>
    </row>
    <row r="68" spans="1:20">
      <c r="A68" s="3" t="s">
        <v>157</v>
      </c>
      <c r="B68" s="3" t="s">
        <v>19</v>
      </c>
      <c r="C68" s="3" t="s">
        <v>20</v>
      </c>
      <c r="D68" s="3" t="s">
        <v>21</v>
      </c>
      <c r="E68" s="3" t="s">
        <v>466</v>
      </c>
      <c r="F68" s="2" t="s">
        <v>483</v>
      </c>
      <c r="G68" s="3" t="s">
        <v>24</v>
      </c>
      <c r="H68" s="3" t="s">
        <v>467</v>
      </c>
      <c r="I68" s="3" t="s">
        <v>468</v>
      </c>
      <c r="J68" s="13">
        <v>46232</v>
      </c>
      <c r="K68" s="3">
        <v>60</v>
      </c>
      <c r="L68" s="13">
        <f>J68+K68</f>
        <v>46292</v>
      </c>
      <c r="M68" s="10">
        <v>46309</v>
      </c>
      <c r="N68" s="18">
        <f>M68-L68</f>
        <v>17</v>
      </c>
      <c r="O68" s="15">
        <v>495000</v>
      </c>
      <c r="P68" s="15">
        <v>297000</v>
      </c>
      <c r="Q68" s="19" t="s">
        <v>27</v>
      </c>
      <c r="R68" s="19" t="s">
        <v>28</v>
      </c>
      <c r="S68" s="19" t="s">
        <v>29</v>
      </c>
      <c r="T68" s="19" t="s">
        <v>92</v>
      </c>
    </row>
    <row r="69" spans="1:20">
      <c r="A69" s="2" t="s">
        <v>59</v>
      </c>
      <c r="B69" s="2" t="s">
        <v>60</v>
      </c>
      <c r="C69" s="2" t="s">
        <v>61</v>
      </c>
      <c r="D69" s="2" t="s">
        <v>62</v>
      </c>
      <c r="E69" s="2" t="s">
        <v>63</v>
      </c>
      <c r="F69" s="2" t="s">
        <v>64</v>
      </c>
      <c r="G69" s="2" t="s">
        <v>24</v>
      </c>
      <c r="H69" s="2">
        <v>68310291</v>
      </c>
      <c r="I69" s="2" t="s">
        <v>65</v>
      </c>
      <c r="J69" s="8">
        <v>46162</v>
      </c>
      <c r="K69" s="2">
        <v>60</v>
      </c>
      <c r="L69" s="8">
        <v>46222</v>
      </c>
      <c r="M69" s="10">
        <v>46309</v>
      </c>
      <c r="N69" s="18">
        <f>M69-L69</f>
        <v>87</v>
      </c>
      <c r="O69" s="11">
        <v>375000</v>
      </c>
      <c r="P69" s="11">
        <v>375000</v>
      </c>
      <c r="Q69" s="16" t="s">
        <v>476</v>
      </c>
      <c r="R69" s="16" t="s">
        <v>39</v>
      </c>
      <c r="S69" s="16" t="s">
        <v>40</v>
      </c>
      <c r="T69" s="16" t="s">
        <v>30</v>
      </c>
    </row>
    <row r="70" spans="1:20">
      <c r="A70" s="3" t="s">
        <v>195</v>
      </c>
      <c r="B70" s="3" t="s">
        <v>32</v>
      </c>
      <c r="C70" s="3" t="s">
        <v>335</v>
      </c>
      <c r="D70" s="3" t="s">
        <v>336</v>
      </c>
      <c r="E70" s="3" t="s">
        <v>337</v>
      </c>
      <c r="F70" s="2" t="s">
        <v>338</v>
      </c>
      <c r="G70" s="3" t="s">
        <v>24</v>
      </c>
      <c r="H70" s="3" t="s">
        <v>339</v>
      </c>
      <c r="I70" s="3" t="s">
        <v>340</v>
      </c>
      <c r="J70" s="13">
        <v>46142</v>
      </c>
      <c r="K70" s="3">
        <v>60</v>
      </c>
      <c r="L70" s="13">
        <v>46202</v>
      </c>
      <c r="M70" s="10">
        <v>46309</v>
      </c>
      <c r="N70" s="18">
        <f>M70-L70</f>
        <v>107</v>
      </c>
      <c r="O70" s="15">
        <v>375000</v>
      </c>
      <c r="P70" s="15">
        <v>375000</v>
      </c>
      <c r="Q70" s="16" t="s">
        <v>476</v>
      </c>
      <c r="R70" s="16" t="s">
        <v>39</v>
      </c>
      <c r="S70" s="16" t="s">
        <v>40</v>
      </c>
      <c r="T70" s="16" t="s">
        <v>30</v>
      </c>
    </row>
    <row r="71" spans="1:20">
      <c r="A71" s="3" t="s">
        <v>157</v>
      </c>
      <c r="B71" s="3" t="s">
        <v>19</v>
      </c>
      <c r="C71" s="3" t="s">
        <v>350</v>
      </c>
      <c r="D71" s="3" t="s">
        <v>351</v>
      </c>
      <c r="E71" s="3" t="s">
        <v>352</v>
      </c>
      <c r="F71" s="2" t="s">
        <v>353</v>
      </c>
      <c r="G71" s="3" t="s">
        <v>24</v>
      </c>
      <c r="H71" s="3" t="s">
        <v>354</v>
      </c>
      <c r="I71" s="3" t="s">
        <v>355</v>
      </c>
      <c r="J71" s="13">
        <v>46112</v>
      </c>
      <c r="K71" s="14">
        <v>90</v>
      </c>
      <c r="L71" s="13">
        <v>46202</v>
      </c>
      <c r="M71" s="10">
        <v>46309</v>
      </c>
      <c r="N71" s="18">
        <f>M71-L71</f>
        <v>107</v>
      </c>
      <c r="O71" s="15">
        <v>495000</v>
      </c>
      <c r="P71" s="15">
        <v>495000</v>
      </c>
      <c r="Q71" s="16" t="s">
        <v>476</v>
      </c>
      <c r="R71" s="16" t="s">
        <v>39</v>
      </c>
      <c r="S71" s="16" t="s">
        <v>40</v>
      </c>
      <c r="T71" s="16" t="s">
        <v>30</v>
      </c>
    </row>
    <row r="72" spans="1:20">
      <c r="A72" s="2" t="s">
        <v>93</v>
      </c>
      <c r="B72" s="2" t="s">
        <v>94</v>
      </c>
      <c r="C72" s="2" t="s">
        <v>95</v>
      </c>
      <c r="D72" s="2" t="s">
        <v>96</v>
      </c>
      <c r="E72" s="2" t="s">
        <v>97</v>
      </c>
      <c r="F72" s="2" t="s">
        <v>98</v>
      </c>
      <c r="G72" s="2" t="s">
        <v>24</v>
      </c>
      <c r="H72" s="2" t="s">
        <v>99</v>
      </c>
      <c r="I72" s="2" t="s">
        <v>100</v>
      </c>
      <c r="J72" s="8">
        <v>46139</v>
      </c>
      <c r="K72" s="2">
        <v>90</v>
      </c>
      <c r="L72" s="8">
        <v>46229</v>
      </c>
      <c r="M72" s="10">
        <v>46309</v>
      </c>
      <c r="N72" s="18">
        <f>M72-L72</f>
        <v>80</v>
      </c>
      <c r="O72" s="11">
        <v>495000</v>
      </c>
      <c r="P72" s="11">
        <v>245000</v>
      </c>
      <c r="Q72" s="16" t="s">
        <v>27</v>
      </c>
      <c r="R72" s="16" t="s">
        <v>101</v>
      </c>
      <c r="S72" s="16" t="s">
        <v>29</v>
      </c>
      <c r="T72" s="16" t="s">
        <v>30</v>
      </c>
    </row>
    <row r="73" spans="1:20">
      <c r="A73" s="3" t="s">
        <v>157</v>
      </c>
      <c r="B73" s="3" t="s">
        <v>117</v>
      </c>
      <c r="C73" s="3" t="s">
        <v>118</v>
      </c>
      <c r="D73" s="3" t="s">
        <v>119</v>
      </c>
      <c r="E73" s="3" t="s">
        <v>347</v>
      </c>
      <c r="F73" s="2" t="s">
        <v>348</v>
      </c>
      <c r="G73" s="3" t="s">
        <v>24</v>
      </c>
      <c r="H73" s="3">
        <v>661101038</v>
      </c>
      <c r="I73" s="3" t="s">
        <v>349</v>
      </c>
      <c r="J73" s="13">
        <v>46112</v>
      </c>
      <c r="K73" s="14">
        <v>90</v>
      </c>
      <c r="L73" s="13">
        <v>46202</v>
      </c>
      <c r="M73" s="10">
        <v>46309</v>
      </c>
      <c r="N73" s="18">
        <f>M73-L73</f>
        <v>107</v>
      </c>
      <c r="O73" s="15">
        <v>495000</v>
      </c>
      <c r="P73" s="15">
        <v>495000</v>
      </c>
      <c r="Q73" s="16" t="s">
        <v>476</v>
      </c>
      <c r="R73" s="16" t="s">
        <v>39</v>
      </c>
      <c r="S73" s="16" t="s">
        <v>40</v>
      </c>
      <c r="T73" s="16" t="s">
        <v>30</v>
      </c>
    </row>
    <row r="74" spans="1:20">
      <c r="A74" s="2" t="s">
        <v>18</v>
      </c>
      <c r="B74" s="2" t="s">
        <v>117</v>
      </c>
      <c r="C74" s="2" t="s">
        <v>118</v>
      </c>
      <c r="D74" s="2" t="s">
        <v>119</v>
      </c>
      <c r="E74" s="2" t="s">
        <v>120</v>
      </c>
      <c r="F74" s="2" t="s">
        <v>121</v>
      </c>
      <c r="G74" s="2" t="s">
        <v>24</v>
      </c>
      <c r="H74" s="2">
        <v>7881200699</v>
      </c>
      <c r="I74" s="2" t="s">
        <v>122</v>
      </c>
      <c r="J74" s="8">
        <v>46142</v>
      </c>
      <c r="K74" s="2">
        <v>90</v>
      </c>
      <c r="L74" s="8">
        <v>46232</v>
      </c>
      <c r="M74" s="10">
        <v>46309</v>
      </c>
      <c r="N74" s="18">
        <f>M74-L74</f>
        <v>77</v>
      </c>
      <c r="O74" s="11">
        <v>495000</v>
      </c>
      <c r="P74" s="11">
        <v>495000</v>
      </c>
      <c r="Q74" s="16" t="s">
        <v>476</v>
      </c>
      <c r="R74" s="16" t="s">
        <v>39</v>
      </c>
      <c r="S74" s="16" t="s">
        <v>91</v>
      </c>
      <c r="T74" s="16" t="s">
        <v>92</v>
      </c>
    </row>
    <row r="75" spans="1:20">
      <c r="A75" s="3" t="s">
        <v>157</v>
      </c>
      <c r="B75" s="3" t="s">
        <v>170</v>
      </c>
      <c r="C75" s="3" t="s">
        <v>171</v>
      </c>
      <c r="D75" s="3" t="s">
        <v>172</v>
      </c>
      <c r="E75" s="3" t="s">
        <v>173</v>
      </c>
      <c r="F75" s="2" t="s">
        <v>174</v>
      </c>
      <c r="G75" s="3" t="s">
        <v>24</v>
      </c>
      <c r="H75" s="3" t="s">
        <v>175</v>
      </c>
      <c r="I75" s="3" t="s">
        <v>176</v>
      </c>
      <c r="J75" s="13">
        <v>46112</v>
      </c>
      <c r="K75" s="14">
        <v>45</v>
      </c>
      <c r="L75" s="13">
        <v>46157</v>
      </c>
      <c r="M75" s="10">
        <v>46309</v>
      </c>
      <c r="N75" s="18">
        <f>M75-L75</f>
        <v>152</v>
      </c>
      <c r="O75" s="15">
        <v>495000</v>
      </c>
      <c r="P75" s="15">
        <v>495000</v>
      </c>
      <c r="Q75" s="16" t="s">
        <v>476</v>
      </c>
      <c r="R75" s="16" t="s">
        <v>39</v>
      </c>
      <c r="S75" s="16" t="s">
        <v>40</v>
      </c>
      <c r="T75" s="16" t="s">
        <v>30</v>
      </c>
    </row>
    <row r="76" spans="1:20">
      <c r="A76" s="3" t="s">
        <v>157</v>
      </c>
      <c r="B76" s="3" t="s">
        <v>170</v>
      </c>
      <c r="C76" s="3" t="s">
        <v>171</v>
      </c>
      <c r="D76" s="3" t="s">
        <v>172</v>
      </c>
      <c r="E76" s="3" t="s">
        <v>294</v>
      </c>
      <c r="F76" s="2" t="s">
        <v>295</v>
      </c>
      <c r="G76" s="3" t="s">
        <v>24</v>
      </c>
      <c r="H76" s="3" t="s">
        <v>296</v>
      </c>
      <c r="I76" s="3" t="s">
        <v>297</v>
      </c>
      <c r="J76" s="13">
        <v>46142</v>
      </c>
      <c r="K76" s="3">
        <v>45</v>
      </c>
      <c r="L76" s="13">
        <v>46187</v>
      </c>
      <c r="M76" s="10">
        <v>46309</v>
      </c>
      <c r="N76" s="18">
        <f>M76-L76</f>
        <v>122</v>
      </c>
      <c r="O76" s="15">
        <v>550000</v>
      </c>
      <c r="P76" s="15">
        <v>550000</v>
      </c>
      <c r="Q76" s="16" t="s">
        <v>156</v>
      </c>
      <c r="R76" s="16" t="s">
        <v>156</v>
      </c>
      <c r="S76" s="16" t="s">
        <v>156</v>
      </c>
      <c r="T76" s="16" t="s">
        <v>30</v>
      </c>
    </row>
    <row r="77" spans="1:20">
      <c r="A77" s="2" t="s">
        <v>66</v>
      </c>
      <c r="B77" s="2" t="s">
        <v>67</v>
      </c>
      <c r="C77" s="2" t="s">
        <v>68</v>
      </c>
      <c r="D77" s="2" t="s">
        <v>69</v>
      </c>
      <c r="E77" s="2" t="s">
        <v>70</v>
      </c>
      <c r="F77" s="2" t="s">
        <v>71</v>
      </c>
      <c r="G77" s="2" t="s">
        <v>24</v>
      </c>
      <c r="H77" s="2" t="s">
        <v>72</v>
      </c>
      <c r="I77" s="2" t="s">
        <v>73</v>
      </c>
      <c r="J77" s="8">
        <v>46192</v>
      </c>
      <c r="K77" s="2">
        <v>30</v>
      </c>
      <c r="L77" s="8">
        <v>46222</v>
      </c>
      <c r="M77" s="10">
        <v>46309</v>
      </c>
      <c r="N77" s="18">
        <f>M77-L77</f>
        <v>87</v>
      </c>
      <c r="O77" s="11">
        <v>550000</v>
      </c>
      <c r="P77" s="11">
        <v>550000</v>
      </c>
      <c r="Q77" s="16" t="s">
        <v>476</v>
      </c>
      <c r="R77" s="16" t="s">
        <v>39</v>
      </c>
      <c r="S77" s="16" t="s">
        <v>40</v>
      </c>
      <c r="T77" s="16" t="s">
        <v>30</v>
      </c>
    </row>
    <row r="78" spans="1:20">
      <c r="A78" s="3" t="s">
        <v>66</v>
      </c>
      <c r="B78" s="3" t="s">
        <v>67</v>
      </c>
      <c r="C78" s="3" t="s">
        <v>142</v>
      </c>
      <c r="D78" s="3" t="s">
        <v>143</v>
      </c>
      <c r="E78" s="3" t="s">
        <v>144</v>
      </c>
      <c r="F78" s="2" t="s">
        <v>145</v>
      </c>
      <c r="G78" s="3" t="s">
        <v>24</v>
      </c>
      <c r="H78" s="3" t="s">
        <v>146</v>
      </c>
      <c r="I78" s="3" t="s">
        <v>147</v>
      </c>
      <c r="J78" s="13">
        <v>46099</v>
      </c>
      <c r="K78" s="14">
        <v>30</v>
      </c>
      <c r="L78" s="13">
        <v>46129</v>
      </c>
      <c r="M78" s="10">
        <v>46309</v>
      </c>
      <c r="N78" s="18">
        <f>M78-L78</f>
        <v>180</v>
      </c>
      <c r="O78" s="15">
        <v>475000</v>
      </c>
      <c r="P78" s="15">
        <v>475000</v>
      </c>
      <c r="Q78" s="16" t="s">
        <v>476</v>
      </c>
      <c r="R78" s="16" t="s">
        <v>39</v>
      </c>
      <c r="S78" s="16" t="s">
        <v>40</v>
      </c>
      <c r="T78" s="16" t="s">
        <v>30</v>
      </c>
    </row>
    <row r="79" spans="1:20">
      <c r="A79" s="3" t="s">
        <v>66</v>
      </c>
      <c r="B79" s="3" t="s">
        <v>453</v>
      </c>
      <c r="C79" s="3" t="s">
        <v>142</v>
      </c>
      <c r="D79" s="3" t="s">
        <v>143</v>
      </c>
      <c r="E79" s="3" t="s">
        <v>454</v>
      </c>
      <c r="F79" s="2" t="s">
        <v>486</v>
      </c>
      <c r="G79" s="3" t="s">
        <v>24</v>
      </c>
      <c r="H79" s="3" t="s">
        <v>455</v>
      </c>
      <c r="I79" s="3" t="s">
        <v>456</v>
      </c>
      <c r="J79" s="13">
        <v>46227</v>
      </c>
      <c r="K79" s="3">
        <v>60</v>
      </c>
      <c r="L79" s="13">
        <f>J79+K79</f>
        <v>46287</v>
      </c>
      <c r="M79" s="10">
        <v>46309</v>
      </c>
      <c r="N79" s="18">
        <f>M79-L79</f>
        <v>22</v>
      </c>
      <c r="O79" s="15">
        <v>550000</v>
      </c>
      <c r="P79" s="15">
        <v>550000</v>
      </c>
      <c r="Q79" s="19" t="s">
        <v>476</v>
      </c>
      <c r="R79" s="19" t="s">
        <v>39</v>
      </c>
      <c r="S79" s="19" t="s">
        <v>40</v>
      </c>
      <c r="T79" s="19" t="s">
        <v>92</v>
      </c>
    </row>
    <row r="80" spans="1:20">
      <c r="A80" s="3" t="s">
        <v>66</v>
      </c>
      <c r="B80" s="3" t="s">
        <v>67</v>
      </c>
      <c r="C80" s="3" t="s">
        <v>274</v>
      </c>
      <c r="D80" s="3" t="s">
        <v>275</v>
      </c>
      <c r="E80" s="3" t="s">
        <v>276</v>
      </c>
      <c r="F80" s="2" t="s">
        <v>277</v>
      </c>
      <c r="G80" s="3" t="s">
        <v>24</v>
      </c>
      <c r="H80" s="3">
        <v>106804280</v>
      </c>
      <c r="I80" s="3" t="s">
        <v>278</v>
      </c>
      <c r="J80" s="13">
        <v>46112</v>
      </c>
      <c r="K80" s="14">
        <v>60</v>
      </c>
      <c r="L80" s="13">
        <v>46172</v>
      </c>
      <c r="M80" s="10">
        <v>46309</v>
      </c>
      <c r="N80" s="18">
        <f>M80-L80</f>
        <v>137</v>
      </c>
      <c r="O80" s="15">
        <v>550000</v>
      </c>
      <c r="P80" s="15">
        <v>550000</v>
      </c>
      <c r="Q80" s="16" t="s">
        <v>156</v>
      </c>
      <c r="R80" s="16" t="s">
        <v>156</v>
      </c>
      <c r="S80" s="16" t="s">
        <v>91</v>
      </c>
      <c r="T80" s="16" t="s">
        <v>30</v>
      </c>
    </row>
    <row r="81" spans="1:20">
      <c r="A81" s="3" t="s">
        <v>157</v>
      </c>
      <c r="B81" s="3" t="s">
        <v>19</v>
      </c>
      <c r="C81" s="3" t="s">
        <v>85</v>
      </c>
      <c r="D81" s="3" t="s">
        <v>86</v>
      </c>
      <c r="E81" s="3" t="s">
        <v>158</v>
      </c>
      <c r="F81" s="2" t="s">
        <v>159</v>
      </c>
      <c r="G81" s="3" t="s">
        <v>24</v>
      </c>
      <c r="H81" s="3" t="s">
        <v>160</v>
      </c>
      <c r="I81" s="3" t="s">
        <v>161</v>
      </c>
      <c r="J81" s="13">
        <v>46053</v>
      </c>
      <c r="K81" s="14">
        <v>90</v>
      </c>
      <c r="L81" s="13">
        <v>46143</v>
      </c>
      <c r="M81" s="10">
        <v>46309</v>
      </c>
      <c r="N81" s="18">
        <f>M81-L81</f>
        <v>166</v>
      </c>
      <c r="O81" s="15">
        <v>495000</v>
      </c>
      <c r="P81" s="15">
        <v>495000</v>
      </c>
      <c r="Q81" s="16" t="s">
        <v>476</v>
      </c>
      <c r="R81" s="16" t="s">
        <v>39</v>
      </c>
      <c r="S81" s="16" t="s">
        <v>40</v>
      </c>
      <c r="T81" s="16" t="s">
        <v>30</v>
      </c>
    </row>
    <row r="82" spans="1:20">
      <c r="A82" s="3" t="s">
        <v>157</v>
      </c>
      <c r="B82" s="3" t="s">
        <v>19</v>
      </c>
      <c r="C82" s="3" t="s">
        <v>85</v>
      </c>
      <c r="D82" s="3" t="s">
        <v>86</v>
      </c>
      <c r="E82" s="3" t="s">
        <v>87</v>
      </c>
      <c r="F82" s="2" t="s">
        <v>88</v>
      </c>
      <c r="G82" s="3" t="s">
        <v>24</v>
      </c>
      <c r="H82" s="3" t="s">
        <v>89</v>
      </c>
      <c r="I82" s="3" t="s">
        <v>90</v>
      </c>
      <c r="J82" s="13">
        <v>46138</v>
      </c>
      <c r="K82" s="3">
        <v>90</v>
      </c>
      <c r="L82" s="13">
        <f>J82+K82</f>
        <v>46228</v>
      </c>
      <c r="M82" s="10">
        <v>46309</v>
      </c>
      <c r="N82" s="18">
        <f>M82-L82</f>
        <v>81</v>
      </c>
      <c r="O82" s="15">
        <v>495000</v>
      </c>
      <c r="P82" s="15">
        <v>495000</v>
      </c>
      <c r="Q82" s="19" t="s">
        <v>476</v>
      </c>
      <c r="R82" s="19" t="s">
        <v>39</v>
      </c>
      <c r="S82" s="19" t="s">
        <v>40</v>
      </c>
      <c r="T82" s="20" t="s">
        <v>30</v>
      </c>
    </row>
    <row r="83" spans="1:20">
      <c r="A83" s="3" t="s">
        <v>229</v>
      </c>
      <c r="B83" s="3" t="s">
        <v>46</v>
      </c>
      <c r="C83" s="3" t="s">
        <v>230</v>
      </c>
      <c r="D83" s="3" t="s">
        <v>231</v>
      </c>
      <c r="E83" s="3" t="s">
        <v>232</v>
      </c>
      <c r="F83" s="2" t="s">
        <v>233</v>
      </c>
      <c r="G83" s="3" t="s">
        <v>24</v>
      </c>
      <c r="H83" s="3" t="s">
        <v>234</v>
      </c>
      <c r="I83" s="3" t="s">
        <v>235</v>
      </c>
      <c r="J83" s="13">
        <v>46112</v>
      </c>
      <c r="K83" s="14">
        <v>60</v>
      </c>
      <c r="L83" s="13">
        <v>46172</v>
      </c>
      <c r="M83" s="10">
        <v>46309</v>
      </c>
      <c r="N83" s="18">
        <f>M83-L83</f>
        <v>137</v>
      </c>
      <c r="O83" s="15">
        <v>550000</v>
      </c>
      <c r="P83" s="15">
        <v>550000</v>
      </c>
      <c r="Q83" s="16" t="s">
        <v>476</v>
      </c>
      <c r="R83" s="16" t="s">
        <v>39</v>
      </c>
      <c r="S83" s="16" t="s">
        <v>236</v>
      </c>
      <c r="T83" s="16" t="s">
        <v>30</v>
      </c>
    </row>
    <row r="84" spans="1:20">
      <c r="A84" s="3" t="s">
        <v>162</v>
      </c>
      <c r="B84" s="3" t="s">
        <v>128</v>
      </c>
      <c r="C84" s="3" t="s">
        <v>129</v>
      </c>
      <c r="D84" s="3" t="s">
        <v>130</v>
      </c>
      <c r="E84" s="3" t="s">
        <v>177</v>
      </c>
      <c r="F84" s="2" t="s">
        <v>178</v>
      </c>
      <c r="G84" s="3" t="s">
        <v>24</v>
      </c>
      <c r="H84" s="3" t="s">
        <v>179</v>
      </c>
      <c r="I84" s="3" t="s">
        <v>180</v>
      </c>
      <c r="J84" s="13">
        <v>46106</v>
      </c>
      <c r="K84" s="14">
        <v>60</v>
      </c>
      <c r="L84" s="13">
        <f>J84+K84</f>
        <v>46166</v>
      </c>
      <c r="M84" s="10">
        <v>46309</v>
      </c>
      <c r="N84" s="18">
        <f>M84-L84</f>
        <v>143</v>
      </c>
      <c r="O84" s="15">
        <v>375000</v>
      </c>
      <c r="P84" s="15">
        <v>375000</v>
      </c>
      <c r="Q84" s="19" t="s">
        <v>476</v>
      </c>
      <c r="R84" s="19" t="s">
        <v>39</v>
      </c>
      <c r="S84" s="19" t="s">
        <v>236</v>
      </c>
      <c r="T84" s="19" t="s">
        <v>92</v>
      </c>
    </row>
    <row r="85" spans="1:20">
      <c r="A85" s="2" t="s">
        <v>59</v>
      </c>
      <c r="B85" s="2" t="s">
        <v>128</v>
      </c>
      <c r="C85" s="2" t="s">
        <v>129</v>
      </c>
      <c r="D85" s="2" t="s">
        <v>130</v>
      </c>
      <c r="E85" s="2" t="s">
        <v>131</v>
      </c>
      <c r="F85" s="2" t="s">
        <v>132</v>
      </c>
      <c r="G85" s="2" t="s">
        <v>24</v>
      </c>
      <c r="H85" s="2" t="s">
        <v>133</v>
      </c>
      <c r="I85" s="2" t="s">
        <v>134</v>
      </c>
      <c r="J85" s="8">
        <v>46173</v>
      </c>
      <c r="K85" s="2">
        <v>60</v>
      </c>
      <c r="L85" s="8">
        <v>46233</v>
      </c>
      <c r="M85" s="10">
        <v>46309</v>
      </c>
      <c r="N85" s="18">
        <f>M85-L85</f>
        <v>76</v>
      </c>
      <c r="O85" s="11">
        <v>375000</v>
      </c>
      <c r="P85" s="11">
        <v>375000</v>
      </c>
      <c r="Q85" s="16" t="s">
        <v>476</v>
      </c>
      <c r="R85" s="16" t="s">
        <v>39</v>
      </c>
      <c r="S85" s="16" t="s">
        <v>40</v>
      </c>
      <c r="T85" s="16" t="s">
        <v>30</v>
      </c>
    </row>
    <row r="86" spans="1:20">
      <c r="A86" s="3" t="s">
        <v>229</v>
      </c>
      <c r="B86" s="3" t="s">
        <v>46</v>
      </c>
      <c r="C86" s="3" t="s">
        <v>310</v>
      </c>
      <c r="D86" s="3" t="s">
        <v>311</v>
      </c>
      <c r="E86" s="3" t="s">
        <v>312</v>
      </c>
      <c r="F86" s="2" t="s">
        <v>313</v>
      </c>
      <c r="G86" s="3" t="s">
        <v>24</v>
      </c>
      <c r="H86" s="3" t="s">
        <v>314</v>
      </c>
      <c r="I86" s="3" t="s">
        <v>315</v>
      </c>
      <c r="J86" s="13">
        <v>46111</v>
      </c>
      <c r="K86" s="14">
        <v>90</v>
      </c>
      <c r="L86" s="13">
        <v>46201</v>
      </c>
      <c r="M86" s="10">
        <v>46309</v>
      </c>
      <c r="N86" s="18">
        <f>M86-L86</f>
        <v>108</v>
      </c>
      <c r="O86" s="15">
        <v>550000</v>
      </c>
      <c r="P86" s="15">
        <v>550000</v>
      </c>
      <c r="Q86" s="16" t="s">
        <v>476</v>
      </c>
      <c r="R86" s="16" t="s">
        <v>39</v>
      </c>
      <c r="S86" s="16" t="s">
        <v>91</v>
      </c>
      <c r="T86" s="16" t="s">
        <v>92</v>
      </c>
    </row>
    <row r="87" spans="1:20">
      <c r="A87" s="2" t="s">
        <v>74</v>
      </c>
      <c r="B87" s="2" t="s">
        <v>74</v>
      </c>
      <c r="C87" s="2" t="s">
        <v>75</v>
      </c>
      <c r="D87" s="2" t="s">
        <v>76</v>
      </c>
      <c r="E87" s="2" t="s">
        <v>77</v>
      </c>
      <c r="F87" s="2" t="s">
        <v>78</v>
      </c>
      <c r="G87" s="2" t="s">
        <v>24</v>
      </c>
      <c r="H87" s="2" t="s">
        <v>79</v>
      </c>
      <c r="I87" s="2" t="s">
        <v>80</v>
      </c>
      <c r="J87" s="8">
        <v>46164</v>
      </c>
      <c r="K87" s="2">
        <v>60</v>
      </c>
      <c r="L87" s="8">
        <v>46224</v>
      </c>
      <c r="M87" s="10">
        <v>46309</v>
      </c>
      <c r="N87" s="18">
        <f>M87-L87</f>
        <v>85</v>
      </c>
      <c r="O87" s="11">
        <v>475000</v>
      </c>
      <c r="P87" s="11">
        <v>125000</v>
      </c>
      <c r="Q87" s="16" t="s">
        <v>27</v>
      </c>
      <c r="R87" s="16" t="s">
        <v>58</v>
      </c>
      <c r="S87" s="16" t="s">
        <v>29</v>
      </c>
      <c r="T87" s="16" t="s">
        <v>30</v>
      </c>
    </row>
    <row r="88" spans="1:20">
      <c r="A88" s="3" t="s">
        <v>74</v>
      </c>
      <c r="B88" s="3" t="s">
        <v>74</v>
      </c>
      <c r="C88" s="3" t="s">
        <v>75</v>
      </c>
      <c r="D88" s="3" t="s">
        <v>76</v>
      </c>
      <c r="E88" s="3" t="s">
        <v>380</v>
      </c>
      <c r="F88" s="2" t="s">
        <v>381</v>
      </c>
      <c r="G88" s="3" t="s">
        <v>24</v>
      </c>
      <c r="H88" s="3">
        <v>7157401261</v>
      </c>
      <c r="I88" s="3" t="s">
        <v>382</v>
      </c>
      <c r="J88" s="13">
        <v>46184</v>
      </c>
      <c r="K88" s="3">
        <v>60</v>
      </c>
      <c r="L88" s="13">
        <v>46244</v>
      </c>
      <c r="M88" s="10">
        <v>46309</v>
      </c>
      <c r="N88" s="18">
        <f>M88-L88</f>
        <v>65</v>
      </c>
      <c r="O88" s="15">
        <v>475000</v>
      </c>
      <c r="P88" s="15">
        <v>475000</v>
      </c>
      <c r="Q88" s="16" t="s">
        <v>476</v>
      </c>
      <c r="R88" s="16" t="s">
        <v>39</v>
      </c>
      <c r="S88" s="16" t="s">
        <v>156</v>
      </c>
      <c r="T88" s="16" t="s">
        <v>30</v>
      </c>
    </row>
    <row r="89" spans="1:20">
      <c r="A89" s="3" t="s">
        <v>74</v>
      </c>
      <c r="B89" s="3" t="s">
        <v>74</v>
      </c>
      <c r="C89" s="3" t="s">
        <v>75</v>
      </c>
      <c r="D89" s="3" t="s">
        <v>76</v>
      </c>
      <c r="E89" s="3" t="s">
        <v>457</v>
      </c>
      <c r="F89" s="2" t="s">
        <v>487</v>
      </c>
      <c r="G89" s="3" t="s">
        <v>24</v>
      </c>
      <c r="H89" s="3" t="s">
        <v>458</v>
      </c>
      <c r="I89" s="3" t="s">
        <v>459</v>
      </c>
      <c r="J89" s="13">
        <v>46225</v>
      </c>
      <c r="K89" s="3">
        <v>60</v>
      </c>
      <c r="L89" s="13">
        <f>J89+K89</f>
        <v>46285</v>
      </c>
      <c r="M89" s="10">
        <v>46309</v>
      </c>
      <c r="N89" s="18">
        <f>M89-L89</f>
        <v>24</v>
      </c>
      <c r="O89" s="15">
        <v>550000</v>
      </c>
      <c r="P89" s="15">
        <v>220000</v>
      </c>
      <c r="Q89" s="19" t="s">
        <v>27</v>
      </c>
      <c r="R89" s="19" t="s">
        <v>101</v>
      </c>
      <c r="S89" s="19" t="s">
        <v>29</v>
      </c>
      <c r="T89" s="19" t="s">
        <v>92</v>
      </c>
    </row>
    <row r="90" spans="1:20">
      <c r="A90" s="3" t="s">
        <v>74</v>
      </c>
      <c r="B90" s="3" t="s">
        <v>74</v>
      </c>
      <c r="C90" s="3" t="s">
        <v>75</v>
      </c>
      <c r="D90" s="3" t="s">
        <v>76</v>
      </c>
      <c r="E90" s="3" t="s">
        <v>460</v>
      </c>
      <c r="F90" s="2" t="s">
        <v>480</v>
      </c>
      <c r="G90" s="3" t="s">
        <v>24</v>
      </c>
      <c r="H90" s="3">
        <v>232302516</v>
      </c>
      <c r="I90" s="3" t="s">
        <v>461</v>
      </c>
      <c r="J90" s="13">
        <v>46233</v>
      </c>
      <c r="K90" s="3">
        <v>60</v>
      </c>
      <c r="L90" s="13">
        <f>J90+K90</f>
        <v>46293</v>
      </c>
      <c r="M90" s="10">
        <v>46309</v>
      </c>
      <c r="N90" s="18">
        <f>M90-L90</f>
        <v>16</v>
      </c>
      <c r="O90" s="15">
        <v>315000</v>
      </c>
      <c r="P90" s="15">
        <v>315000</v>
      </c>
      <c r="Q90" s="19" t="s">
        <v>481</v>
      </c>
      <c r="R90" s="19" t="s">
        <v>481</v>
      </c>
      <c r="S90" s="19" t="s">
        <v>482</v>
      </c>
      <c r="T90" s="19" t="s">
        <v>481</v>
      </c>
    </row>
    <row r="91" spans="1:20">
      <c r="A91" s="3" t="s">
        <v>74</v>
      </c>
      <c r="B91" s="3" t="s">
        <v>74</v>
      </c>
      <c r="C91" s="3" t="s">
        <v>75</v>
      </c>
      <c r="D91" s="3" t="s">
        <v>76</v>
      </c>
      <c r="E91" s="3" t="s">
        <v>373</v>
      </c>
      <c r="F91" s="2" t="s">
        <v>374</v>
      </c>
      <c r="G91" s="3" t="s">
        <v>24</v>
      </c>
      <c r="H91" s="3" t="s">
        <v>375</v>
      </c>
      <c r="I91" s="3" t="s">
        <v>376</v>
      </c>
      <c r="J91" s="13">
        <v>46148</v>
      </c>
      <c r="K91" s="14">
        <v>60</v>
      </c>
      <c r="L91" s="13">
        <v>46208</v>
      </c>
      <c r="M91" s="10">
        <v>46309</v>
      </c>
      <c r="N91" s="18">
        <f>M91-L91</f>
        <v>101</v>
      </c>
      <c r="O91" s="15">
        <v>550000</v>
      </c>
      <c r="P91" s="15">
        <v>550000</v>
      </c>
      <c r="Q91" s="16" t="s">
        <v>156</v>
      </c>
      <c r="R91" s="16" t="s">
        <v>156</v>
      </c>
      <c r="S91" s="16" t="s">
        <v>156</v>
      </c>
      <c r="T91" s="16" t="s">
        <v>30</v>
      </c>
    </row>
  </sheetData>
  <sortState xmlns:xlrd2="http://schemas.microsoft.com/office/spreadsheetml/2017/richdata2" ref="A2:T91">
    <sortCondition sortBy="cellColor" ref="E2:E91" dxfId="75"/>
  </sortState>
  <conditionalFormatting sqref="E44:E45">
    <cfRule type="duplicateValues" dxfId="43" priority="45"/>
  </conditionalFormatting>
  <conditionalFormatting sqref="E46:E47">
    <cfRule type="duplicateValues" dxfId="42" priority="32"/>
  </conditionalFormatting>
  <conditionalFormatting sqref="E48:E49">
    <cfRule type="duplicateValues" dxfId="41" priority="44"/>
  </conditionalFormatting>
  <conditionalFormatting sqref="E50:E51">
    <cfRule type="duplicateValues" dxfId="40" priority="33"/>
  </conditionalFormatting>
  <conditionalFormatting sqref="E52:E55">
    <cfRule type="duplicateValues" dxfId="39" priority="38"/>
  </conditionalFormatting>
  <conditionalFormatting sqref="E56">
    <cfRule type="duplicateValues" dxfId="38" priority="39"/>
  </conditionalFormatting>
  <conditionalFormatting sqref="E57">
    <cfRule type="duplicateValues" dxfId="37" priority="42"/>
  </conditionalFormatting>
  <conditionalFormatting sqref="E58">
    <cfRule type="duplicateValues" dxfId="36" priority="30"/>
  </conditionalFormatting>
  <conditionalFormatting sqref="E59">
    <cfRule type="duplicateValues" dxfId="35" priority="40"/>
  </conditionalFormatting>
  <conditionalFormatting sqref="E68">
    <cfRule type="duplicateValues" dxfId="34" priority="26" stopIfTrue="1"/>
  </conditionalFormatting>
  <conditionalFormatting sqref="E69:E70">
    <cfRule type="duplicateValues" dxfId="33" priority="24" stopIfTrue="1"/>
    <cfRule type="duplicateValues" dxfId="32" priority="25" stopIfTrue="1"/>
  </conditionalFormatting>
  <conditionalFormatting sqref="E78:E79">
    <cfRule type="duplicateValues" dxfId="31" priority="17" stopIfTrue="1"/>
  </conditionalFormatting>
  <conditionalFormatting sqref="E87:E89">
    <cfRule type="duplicateValues" dxfId="30" priority="7" stopIfTrue="1"/>
    <cfRule type="duplicateValues" dxfId="29" priority="9" stopIfTrue="1"/>
  </conditionalFormatting>
  <conditionalFormatting sqref="E90">
    <cfRule type="duplicateValues" dxfId="28" priority="4" stopIfTrue="1"/>
    <cfRule type="duplicateValues" dxfId="27" priority="5" stopIfTrue="1"/>
  </conditionalFormatting>
  <conditionalFormatting sqref="E91">
    <cfRule type="duplicateValues" dxfId="26" priority="2" stopIfTrue="1"/>
    <cfRule type="duplicateValues" dxfId="25" priority="3" stopIfTrue="1"/>
  </conditionalFormatting>
  <conditionalFormatting sqref="H69:H70">
    <cfRule type="duplicateValues" dxfId="24" priority="23" stopIfTrue="1"/>
  </conditionalFormatting>
  <conditionalFormatting sqref="H78:H79">
    <cfRule type="duplicateValues" dxfId="23" priority="16" stopIfTrue="1"/>
  </conditionalFormatting>
  <conditionalFormatting sqref="H87:H89">
    <cfRule type="duplicateValues" dxfId="22" priority="8" stopIfTrue="1"/>
  </conditionalFormatting>
  <conditionalFormatting sqref="E1:E1048576">
    <cfRule type="duplicateValues" dxfId="21" priority="1"/>
  </conditionalFormatting>
  <conditionalFormatting sqref="E15:E43">
    <cfRule type="duplicateValues" dxfId="20" priority="199"/>
  </conditionalFormatting>
  <conditionalFormatting sqref="E15:E49">
    <cfRule type="duplicateValues" dxfId="19" priority="200"/>
    <cfRule type="duplicateValues" dxfId="18" priority="201"/>
  </conditionalFormatting>
  <conditionalFormatting sqref="E15:E57">
    <cfRule type="duplicateValues" dxfId="17" priority="204"/>
  </conditionalFormatting>
  <conditionalFormatting sqref="E60">
    <cfRule type="duplicateValues" dxfId="16" priority="219"/>
  </conditionalFormatting>
  <conditionalFormatting sqref="E15:E60">
    <cfRule type="duplicateValues" dxfId="15" priority="223"/>
    <cfRule type="duplicateValues" dxfId="14" priority="224"/>
  </conditionalFormatting>
  <conditionalFormatting sqref="E61:E67">
    <cfRule type="duplicateValues" dxfId="13" priority="257"/>
  </conditionalFormatting>
  <conditionalFormatting sqref="E61:E70">
    <cfRule type="duplicateValues" dxfId="12" priority="259"/>
  </conditionalFormatting>
  <conditionalFormatting sqref="E74:E77">
    <cfRule type="duplicateValues" dxfId="11" priority="262" stopIfTrue="1"/>
  </conditionalFormatting>
  <conditionalFormatting sqref="H74:H77">
    <cfRule type="duplicateValues" dxfId="10" priority="264" stopIfTrue="1"/>
  </conditionalFormatting>
  <conditionalFormatting sqref="E71:E73">
    <cfRule type="duplicateValues" dxfId="9" priority="270" stopIfTrue="1"/>
  </conditionalFormatting>
  <conditionalFormatting sqref="H71:H73">
    <cfRule type="duplicateValues" dxfId="8" priority="271" stopIfTrue="1"/>
  </conditionalFormatting>
  <conditionalFormatting sqref="E80:E83">
    <cfRule type="duplicateValues" dxfId="7" priority="299" stopIfTrue="1"/>
    <cfRule type="duplicateValues" dxfId="6" priority="300" stopIfTrue="1"/>
  </conditionalFormatting>
  <conditionalFormatting sqref="H80:H83">
    <cfRule type="duplicateValues" dxfId="5" priority="301" stopIfTrue="1"/>
  </conditionalFormatting>
  <conditionalFormatting sqref="E84:E86">
    <cfRule type="duplicateValues" dxfId="4" priority="303" stopIfTrue="1"/>
    <cfRule type="duplicateValues" dxfId="3" priority="304" stopIfTrue="1"/>
  </conditionalFormatting>
  <conditionalFormatting sqref="H84:H86">
    <cfRule type="duplicateValues" dxfId="2" priority="305" stopIfTrue="1"/>
  </conditionalFormatting>
  <conditionalFormatting sqref="E61:E89">
    <cfRule type="duplicateValues" dxfId="1" priority="309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Dihan Kumaranayake</cp:lastModifiedBy>
  <dcterms:created xsi:type="dcterms:W3CDTF">2026-09-18T07:01:00Z</dcterms:created>
  <dcterms:modified xsi:type="dcterms:W3CDTF">2026-10-21T03:50:29Z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EE50A8C3ADBA49739FD0C404BB5D89E5</vt:lpwstr>
  </property>
  <property fmtid="{D5CDD505-2E9C-101B-9397-08002B2CF9AE}" pid="3" name="KSOProductBuildVer">
    <vt:lpwstr>1033-11.2.0.10330</vt:lpwstr>
  </property>
</Properties>
</file>